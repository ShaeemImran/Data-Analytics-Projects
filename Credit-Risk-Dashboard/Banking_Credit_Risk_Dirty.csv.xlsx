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 E L L\Downloads\"/>
    </mc:Choice>
  </mc:AlternateContent>
  <xr:revisionPtr revIDLastSave="0" documentId="13_ncr:9_{2C05FBD3-18CE-4130-B6CC-56A3CA4BF782}" xr6:coauthVersionLast="47" xr6:coauthVersionMax="47" xr10:uidLastSave="{00000000-0000-0000-0000-000000000000}"/>
  <bookViews>
    <workbookView xWindow="-120" yWindow="-120" windowWidth="20730" windowHeight="11160" xr2:uid="{9050E702-75AB-4491-9F5E-6A3AAE3F9C5D}"/>
  </bookViews>
  <sheets>
    <sheet name="BankingCreditRisk" sheetId="2" r:id="rId1"/>
    <sheet name="Banking_Credit_Risk_Dirty" sheetId="1" r:id="rId2"/>
  </sheets>
  <definedNames>
    <definedName name="ExternalData_1" localSheetId="0" hidden="1">BankingCreditRisk!$A$1:$J$1001</definedName>
  </definedNames>
  <calcPr calcId="0"/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 E L L</author>
  </authors>
  <commentList>
    <comment ref="J1" authorId="0" shapeId="0" xr:uid="{3772DEE7-9E53-4A5B-AC43-6D7C49BF95F2}">
      <text>
        <r>
          <rPr>
            <b/>
            <sz val="9"/>
            <color indexed="81"/>
            <rFont val="Tahoma"/>
            <charset val="1"/>
          </rPr>
          <t>D E L L:</t>
        </r>
        <r>
          <rPr>
            <sz val="9"/>
            <color indexed="81"/>
            <rFont val="Tahoma"/>
            <charset val="1"/>
          </rPr>
          <t xml:space="preserve">
 the loan has been active for this many months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BBE0C-EF44-48DD-AE6B-25CE54141CE2}" keepAlive="1" name="Query - Banking_Credit_Risk_Dirty" description="Connection to the 'Banking_Credit_Risk_Dirty' query in the workbook." type="5" refreshedVersion="8" background="1" saveData="1">
    <dbPr connection="Provider=Microsoft.Mashup.OleDb.1;Data Source=$Workbook$;Location=Banking_Credit_Risk_Dirty;Extended Properties=&quot;&quot;" command="SELECT * FROM [Banking_Credit_Risk_Dirty]"/>
  </connection>
</connections>
</file>

<file path=xl/sharedStrings.xml><?xml version="1.0" encoding="utf-8"?>
<sst xmlns="http://schemas.openxmlformats.org/spreadsheetml/2006/main" count="8021" uniqueCount="1025">
  <si>
    <t>Account_Number</t>
  </si>
  <si>
    <t>Loan_Product_Type</t>
  </si>
  <si>
    <t>Origination_Date</t>
  </si>
  <si>
    <t>Total_Loan_Amount_USD</t>
  </si>
  <si>
    <t>Borrower_Credit_Score</t>
  </si>
  <si>
    <t>Debt_to_Income_Ratio</t>
  </si>
  <si>
    <t>Missed_Payments_Count</t>
  </si>
  <si>
    <t>Employment_Industry</t>
  </si>
  <si>
    <t>Loan_Status</t>
  </si>
  <si>
    <t>loan_age</t>
  </si>
  <si>
    <t>ACC-5001</t>
  </si>
  <si>
    <t>Credit Card</t>
  </si>
  <si>
    <t>Retail</t>
  </si>
  <si>
    <t>Current</t>
  </si>
  <si>
    <t>ACC-5002</t>
  </si>
  <si>
    <t>Personal</t>
  </si>
  <si>
    <t>Unknown</t>
  </si>
  <si>
    <t>In Grace Period</t>
  </si>
  <si>
    <t>ACC-5003</t>
  </si>
  <si>
    <t>Tech</t>
  </si>
  <si>
    <t>ACC-5004</t>
  </si>
  <si>
    <t>Mortgage</t>
  </si>
  <si>
    <t>Hospitality</t>
  </si>
  <si>
    <t>Delinquent</t>
  </si>
  <si>
    <t>ACC-5005</t>
  </si>
  <si>
    <t>ACC-5006</t>
  </si>
  <si>
    <t>ACC-5007</t>
  </si>
  <si>
    <t>Healthcare</t>
  </si>
  <si>
    <t>ACC-5008</t>
  </si>
  <si>
    <t>ACC-5009</t>
  </si>
  <si>
    <t>ACC-5010</t>
  </si>
  <si>
    <t>ACC-5011</t>
  </si>
  <si>
    <t>ACC-5012</t>
  </si>
  <si>
    <t>ACC-5013</t>
  </si>
  <si>
    <t>ACC-5014</t>
  </si>
  <si>
    <t>ACC-5015</t>
  </si>
  <si>
    <t>ACC-5016</t>
  </si>
  <si>
    <t>ACC-5017</t>
  </si>
  <si>
    <t>ACC-5018</t>
  </si>
  <si>
    <t>ACC-5019</t>
  </si>
  <si>
    <t>ACC-5020</t>
  </si>
  <si>
    <t>Energy</t>
  </si>
  <si>
    <t>ACC-5021</t>
  </si>
  <si>
    <t>Auto Loan</t>
  </si>
  <si>
    <t>ACC-5022</t>
  </si>
  <si>
    <t>ACC-5023</t>
  </si>
  <si>
    <t>ACC-5024</t>
  </si>
  <si>
    <t>ACC-5025</t>
  </si>
  <si>
    <t>ACC-5026</t>
  </si>
  <si>
    <t>ACC-5027</t>
  </si>
  <si>
    <t>ACC-5028</t>
  </si>
  <si>
    <t>ACC-5029</t>
  </si>
  <si>
    <t>ACC-5030</t>
  </si>
  <si>
    <t>ACC-5031</t>
  </si>
  <si>
    <t>ACC-5032</t>
  </si>
  <si>
    <t>ACC-5033</t>
  </si>
  <si>
    <t>ACC-5034</t>
  </si>
  <si>
    <t>ACC-5035</t>
  </si>
  <si>
    <t>ACC-5036</t>
  </si>
  <si>
    <t>ACC-5037</t>
  </si>
  <si>
    <t>ACC-5038</t>
  </si>
  <si>
    <t>ACC-5039</t>
  </si>
  <si>
    <t>ACC-5040</t>
  </si>
  <si>
    <t>ACC-5041</t>
  </si>
  <si>
    <t>ACC-5042</t>
  </si>
  <si>
    <t>ACC-5043</t>
  </si>
  <si>
    <t>ACC-5044</t>
  </si>
  <si>
    <t>ACC-5045</t>
  </si>
  <si>
    <t>ACC-5046</t>
  </si>
  <si>
    <t>ACC-5047</t>
  </si>
  <si>
    <t>ACC-5048</t>
  </si>
  <si>
    <t>ACC-5049</t>
  </si>
  <si>
    <t>ACC-5050</t>
  </si>
  <si>
    <t>ACC-5051</t>
  </si>
  <si>
    <t>ACC-5052</t>
  </si>
  <si>
    <t>ACC-5053</t>
  </si>
  <si>
    <t>ACC-5054</t>
  </si>
  <si>
    <t>ACC-5055</t>
  </si>
  <si>
    <t>ACC-5056</t>
  </si>
  <si>
    <t>ACC-5057</t>
  </si>
  <si>
    <t>ACC-5058</t>
  </si>
  <si>
    <t>ACC-5059</t>
  </si>
  <si>
    <t>ACC-5060</t>
  </si>
  <si>
    <t>ACC-5061</t>
  </si>
  <si>
    <t>ACC-5062</t>
  </si>
  <si>
    <t>ACC-5063</t>
  </si>
  <si>
    <t>ACC-5064</t>
  </si>
  <si>
    <t>ACC-5065</t>
  </si>
  <si>
    <t>ACC-5066</t>
  </si>
  <si>
    <t>Charged-Off</t>
  </si>
  <si>
    <t>ACC-5067</t>
  </si>
  <si>
    <t>ACC-5068</t>
  </si>
  <si>
    <t>ACC-5069</t>
  </si>
  <si>
    <t>ACC-5070</t>
  </si>
  <si>
    <t>ACC-5071</t>
  </si>
  <si>
    <t>ACC-5072</t>
  </si>
  <si>
    <t>ACC-5073</t>
  </si>
  <si>
    <t>ACC-5074</t>
  </si>
  <si>
    <t>ACC-5075</t>
  </si>
  <si>
    <t>ACC-5076</t>
  </si>
  <si>
    <t>ACC-5077</t>
  </si>
  <si>
    <t>ACC-5078</t>
  </si>
  <si>
    <t>ACC-5079</t>
  </si>
  <si>
    <t>ACC-5080</t>
  </si>
  <si>
    <t>ACC-5081</t>
  </si>
  <si>
    <t>ACC-5082</t>
  </si>
  <si>
    <t>ACC-5083</t>
  </si>
  <si>
    <t>ACC-5084</t>
  </si>
  <si>
    <t>ACC-5085</t>
  </si>
  <si>
    <t>ACC-5086</t>
  </si>
  <si>
    <t>ACC-5087</t>
  </si>
  <si>
    <t>ACC-5088</t>
  </si>
  <si>
    <t>ACC-5089</t>
  </si>
  <si>
    <t>ACC-5090</t>
  </si>
  <si>
    <t>ACC-5091</t>
  </si>
  <si>
    <t>ACC-5092</t>
  </si>
  <si>
    <t>ACC-5093</t>
  </si>
  <si>
    <t>ACC-5094</t>
  </si>
  <si>
    <t>ACC-5095</t>
  </si>
  <si>
    <t>ACC-5096</t>
  </si>
  <si>
    <t>ACC-5097</t>
  </si>
  <si>
    <t>ACC-5098</t>
  </si>
  <si>
    <t>ACC-5099</t>
  </si>
  <si>
    <t>ACC-5100</t>
  </si>
  <si>
    <t>ACC-5101</t>
  </si>
  <si>
    <t>ACC-5102</t>
  </si>
  <si>
    <t>ACC-5103</t>
  </si>
  <si>
    <t>ACC-5104</t>
  </si>
  <si>
    <t>ACC-5105</t>
  </si>
  <si>
    <t>ACC-5106</t>
  </si>
  <si>
    <t>ACC-5107</t>
  </si>
  <si>
    <t>ACC-5108</t>
  </si>
  <si>
    <t>ACC-5109</t>
  </si>
  <si>
    <t>ACC-5110</t>
  </si>
  <si>
    <t>ACC-5111</t>
  </si>
  <si>
    <t>ACC-5112</t>
  </si>
  <si>
    <t>ACC-5113</t>
  </si>
  <si>
    <t>ACC-5114</t>
  </si>
  <si>
    <t>ACC-5115</t>
  </si>
  <si>
    <t>ACC-5116</t>
  </si>
  <si>
    <t>ACC-5117</t>
  </si>
  <si>
    <t>ACC-5118</t>
  </si>
  <si>
    <t>ACC-5119</t>
  </si>
  <si>
    <t>ACC-5120</t>
  </si>
  <si>
    <t>ACC-5121</t>
  </si>
  <si>
    <t>ACC-5122</t>
  </si>
  <si>
    <t>ACC-5123</t>
  </si>
  <si>
    <t>ACC-5124</t>
  </si>
  <si>
    <t>ACC-5125</t>
  </si>
  <si>
    <t>ACC-5126</t>
  </si>
  <si>
    <t>ACC-5127</t>
  </si>
  <si>
    <t>ACC-5128</t>
  </si>
  <si>
    <t>ACC-5129</t>
  </si>
  <si>
    <t>ACC-5130</t>
  </si>
  <si>
    <t>ACC-5131</t>
  </si>
  <si>
    <t>ACC-5132</t>
  </si>
  <si>
    <t>ACC-5133</t>
  </si>
  <si>
    <t>ACC-5134</t>
  </si>
  <si>
    <t>ACC-5135</t>
  </si>
  <si>
    <t>ACC-5136</t>
  </si>
  <si>
    <t>ACC-5137</t>
  </si>
  <si>
    <t>ACC-5138</t>
  </si>
  <si>
    <t>ACC-5139</t>
  </si>
  <si>
    <t>ACC-5140</t>
  </si>
  <si>
    <t>ACC-5141</t>
  </si>
  <si>
    <t>ACC-5142</t>
  </si>
  <si>
    <t>ACC-5143</t>
  </si>
  <si>
    <t>ACC-5144</t>
  </si>
  <si>
    <t>ACC-5145</t>
  </si>
  <si>
    <t>ACC-5146</t>
  </si>
  <si>
    <t>ACC-5147</t>
  </si>
  <si>
    <t>ACC-5148</t>
  </si>
  <si>
    <t>ACC-5149</t>
  </si>
  <si>
    <t>ACC-5150</t>
  </si>
  <si>
    <t>ACC-5151</t>
  </si>
  <si>
    <t>ACC-5152</t>
  </si>
  <si>
    <t>ACC-5153</t>
  </si>
  <si>
    <t>ACC-5154</t>
  </si>
  <si>
    <t>ACC-5155</t>
  </si>
  <si>
    <t>ACC-5156</t>
  </si>
  <si>
    <t>ACC-5157</t>
  </si>
  <si>
    <t>ACC-5158</t>
  </si>
  <si>
    <t>ACC-5159</t>
  </si>
  <si>
    <t>ACC-5160</t>
  </si>
  <si>
    <t>ACC-5161</t>
  </si>
  <si>
    <t>ACC-5162</t>
  </si>
  <si>
    <t>ACC-5163</t>
  </si>
  <si>
    <t>ACC-5164</t>
  </si>
  <si>
    <t>ACC-5165</t>
  </si>
  <si>
    <t>ACC-5166</t>
  </si>
  <si>
    <t>ACC-5167</t>
  </si>
  <si>
    <t>ACC-5168</t>
  </si>
  <si>
    <t>ACC-5169</t>
  </si>
  <si>
    <t>ACC-5170</t>
  </si>
  <si>
    <t>ACC-5171</t>
  </si>
  <si>
    <t>ACC-5172</t>
  </si>
  <si>
    <t>ACC-5173</t>
  </si>
  <si>
    <t>ACC-5174</t>
  </si>
  <si>
    <t>ACC-5175</t>
  </si>
  <si>
    <t>ACC-5176</t>
  </si>
  <si>
    <t>ACC-5177</t>
  </si>
  <si>
    <t>ACC-5178</t>
  </si>
  <si>
    <t>ACC-5179</t>
  </si>
  <si>
    <t>ACC-5180</t>
  </si>
  <si>
    <t>ACC-5181</t>
  </si>
  <si>
    <t>ACC-5182</t>
  </si>
  <si>
    <t>ACC-5183</t>
  </si>
  <si>
    <t>ACC-5184</t>
  </si>
  <si>
    <t>ACC-5185</t>
  </si>
  <si>
    <t>ACC-5186</t>
  </si>
  <si>
    <t>ACC-5187</t>
  </si>
  <si>
    <t>ACC-5188</t>
  </si>
  <si>
    <t>ACC-5189</t>
  </si>
  <si>
    <t>ACC-5190</t>
  </si>
  <si>
    <t>ACC-5191</t>
  </si>
  <si>
    <t>ACC-5192</t>
  </si>
  <si>
    <t>ACC-5193</t>
  </si>
  <si>
    <t>ACC-5194</t>
  </si>
  <si>
    <t>ACC-5195</t>
  </si>
  <si>
    <t>ACC-5196</t>
  </si>
  <si>
    <t>ACC-5197</t>
  </si>
  <si>
    <t>ACC-5198</t>
  </si>
  <si>
    <t>ACC-5199</t>
  </si>
  <si>
    <t>ACC-5200</t>
  </si>
  <si>
    <t>ACC-5201</t>
  </si>
  <si>
    <t>ACC-5202</t>
  </si>
  <si>
    <t>ACC-5203</t>
  </si>
  <si>
    <t>ACC-5204</t>
  </si>
  <si>
    <t>ACC-5205</t>
  </si>
  <si>
    <t>ACC-5206</t>
  </si>
  <si>
    <t>ACC-5207</t>
  </si>
  <si>
    <t>ACC-5208</t>
  </si>
  <si>
    <t>ACC-5209</t>
  </si>
  <si>
    <t>ACC-5210</t>
  </si>
  <si>
    <t>ACC-5211</t>
  </si>
  <si>
    <t>ACC-5212</t>
  </si>
  <si>
    <t>ACC-5213</t>
  </si>
  <si>
    <t>ACC-5214</t>
  </si>
  <si>
    <t>ACC-5215</t>
  </si>
  <si>
    <t>ACC-5216</t>
  </si>
  <si>
    <t>ACC-5217</t>
  </si>
  <si>
    <t>ACC-5218</t>
  </si>
  <si>
    <t>ACC-5219</t>
  </si>
  <si>
    <t>ACC-5220</t>
  </si>
  <si>
    <t>ACC-5221</t>
  </si>
  <si>
    <t>ACC-5222</t>
  </si>
  <si>
    <t>ACC-5223</t>
  </si>
  <si>
    <t>ACC-5224</t>
  </si>
  <si>
    <t>ACC-5225</t>
  </si>
  <si>
    <t>ACC-5226</t>
  </si>
  <si>
    <t>ACC-5227</t>
  </si>
  <si>
    <t>ACC-5228</t>
  </si>
  <si>
    <t>ACC-5229</t>
  </si>
  <si>
    <t>ACC-5230</t>
  </si>
  <si>
    <t>ACC-5231</t>
  </si>
  <si>
    <t>ACC-5232</t>
  </si>
  <si>
    <t>ACC-5233</t>
  </si>
  <si>
    <t>ACC-5234</t>
  </si>
  <si>
    <t>ACC-5235</t>
  </si>
  <si>
    <t>ACC-5236</t>
  </si>
  <si>
    <t>ACC-5237</t>
  </si>
  <si>
    <t>ACC-5238</t>
  </si>
  <si>
    <t>ACC-5239</t>
  </si>
  <si>
    <t>ACC-5240</t>
  </si>
  <si>
    <t>ACC-5241</t>
  </si>
  <si>
    <t>ACC-5242</t>
  </si>
  <si>
    <t>ACC-5243</t>
  </si>
  <si>
    <t>ACC-5244</t>
  </si>
  <si>
    <t>ACC-5245</t>
  </si>
  <si>
    <t>ACC-5246</t>
  </si>
  <si>
    <t>ACC-5247</t>
  </si>
  <si>
    <t>ACC-5248</t>
  </si>
  <si>
    <t>ACC-5249</t>
  </si>
  <si>
    <t>ACC-5250</t>
  </si>
  <si>
    <t>ACC-5251</t>
  </si>
  <si>
    <t>ACC-5252</t>
  </si>
  <si>
    <t>ACC-5253</t>
  </si>
  <si>
    <t>ACC-5254</t>
  </si>
  <si>
    <t>ACC-5255</t>
  </si>
  <si>
    <t>ACC-5256</t>
  </si>
  <si>
    <t>ACC-5257</t>
  </si>
  <si>
    <t>ACC-5258</t>
  </si>
  <si>
    <t>ACC-5259</t>
  </si>
  <si>
    <t>ACC-5260</t>
  </si>
  <si>
    <t>ACC-5261</t>
  </si>
  <si>
    <t>ACC-5262</t>
  </si>
  <si>
    <t>ACC-5263</t>
  </si>
  <si>
    <t>ACC-5264</t>
  </si>
  <si>
    <t>ACC-5265</t>
  </si>
  <si>
    <t>ACC-5266</t>
  </si>
  <si>
    <t>ACC-5267</t>
  </si>
  <si>
    <t>ACC-5268</t>
  </si>
  <si>
    <t>ACC-5269</t>
  </si>
  <si>
    <t>ACC-5270</t>
  </si>
  <si>
    <t>ACC-5271</t>
  </si>
  <si>
    <t>ACC-5272</t>
  </si>
  <si>
    <t>ACC-5273</t>
  </si>
  <si>
    <t>ACC-5274</t>
  </si>
  <si>
    <t>ACC-5275</t>
  </si>
  <si>
    <t>ACC-5276</t>
  </si>
  <si>
    <t>ACC-5277</t>
  </si>
  <si>
    <t>ACC-5278</t>
  </si>
  <si>
    <t>ACC-5279</t>
  </si>
  <si>
    <t>ACC-5280</t>
  </si>
  <si>
    <t>ACC-5281</t>
  </si>
  <si>
    <t>ACC-5282</t>
  </si>
  <si>
    <t>ACC-5283</t>
  </si>
  <si>
    <t>ACC-5284</t>
  </si>
  <si>
    <t>ACC-5285</t>
  </si>
  <si>
    <t>ACC-5286</t>
  </si>
  <si>
    <t>ACC-5287</t>
  </si>
  <si>
    <t>ACC-5288</t>
  </si>
  <si>
    <t>ACC-5289</t>
  </si>
  <si>
    <t>ACC-5290</t>
  </si>
  <si>
    <t>ACC-5291</t>
  </si>
  <si>
    <t>ACC-5292</t>
  </si>
  <si>
    <t>ACC-5293</t>
  </si>
  <si>
    <t>ACC-5294</t>
  </si>
  <si>
    <t>ACC-5295</t>
  </si>
  <si>
    <t>ACC-5296</t>
  </si>
  <si>
    <t>ACC-5297</t>
  </si>
  <si>
    <t>ACC-5298</t>
  </si>
  <si>
    <t>ACC-5299</t>
  </si>
  <si>
    <t>ACC-5300</t>
  </si>
  <si>
    <t>ACC-5301</t>
  </si>
  <si>
    <t>ACC-5302</t>
  </si>
  <si>
    <t>ACC-5303</t>
  </si>
  <si>
    <t>ACC-5304</t>
  </si>
  <si>
    <t>ACC-5305</t>
  </si>
  <si>
    <t>ACC-5306</t>
  </si>
  <si>
    <t>ACC-5307</t>
  </si>
  <si>
    <t>ACC-5308</t>
  </si>
  <si>
    <t>ACC-5309</t>
  </si>
  <si>
    <t>ACC-5310</t>
  </si>
  <si>
    <t>ACC-5311</t>
  </si>
  <si>
    <t>ACC-5312</t>
  </si>
  <si>
    <t>ACC-5313</t>
  </si>
  <si>
    <t>ACC-5314</t>
  </si>
  <si>
    <t>ACC-5315</t>
  </si>
  <si>
    <t>ACC-5316</t>
  </si>
  <si>
    <t>ACC-5317</t>
  </si>
  <si>
    <t>ACC-5318</t>
  </si>
  <si>
    <t>ACC-5319</t>
  </si>
  <si>
    <t>ACC-5320</t>
  </si>
  <si>
    <t>ACC-5321</t>
  </si>
  <si>
    <t>ACC-5322</t>
  </si>
  <si>
    <t>ACC-5323</t>
  </si>
  <si>
    <t>ACC-5324</t>
  </si>
  <si>
    <t>ACC-5325</t>
  </si>
  <si>
    <t>ACC-5326</t>
  </si>
  <si>
    <t>ACC-5327</t>
  </si>
  <si>
    <t>ACC-5328</t>
  </si>
  <si>
    <t>ACC-5329</t>
  </si>
  <si>
    <t>ACC-5330</t>
  </si>
  <si>
    <t>ACC-5331</t>
  </si>
  <si>
    <t>ACC-5332</t>
  </si>
  <si>
    <t>ACC-5333</t>
  </si>
  <si>
    <t>ACC-5334</t>
  </si>
  <si>
    <t>ACC-5335</t>
  </si>
  <si>
    <t>ACC-5336</t>
  </si>
  <si>
    <t>ACC-5337</t>
  </si>
  <si>
    <t>ACC-5338</t>
  </si>
  <si>
    <t>ACC-5339</t>
  </si>
  <si>
    <t>ACC-5340</t>
  </si>
  <si>
    <t>ACC-5341</t>
  </si>
  <si>
    <t>ACC-5342</t>
  </si>
  <si>
    <t>ACC-5343</t>
  </si>
  <si>
    <t>ACC-5344</t>
  </si>
  <si>
    <t>ACC-5345</t>
  </si>
  <si>
    <t>ACC-5346</t>
  </si>
  <si>
    <t>ACC-5347</t>
  </si>
  <si>
    <t>ACC-5348</t>
  </si>
  <si>
    <t>ACC-5349</t>
  </si>
  <si>
    <t>ACC-5350</t>
  </si>
  <si>
    <t>ACC-5351</t>
  </si>
  <si>
    <t>ACC-5352</t>
  </si>
  <si>
    <t>ACC-5353</t>
  </si>
  <si>
    <t>ACC-5354</t>
  </si>
  <si>
    <t>ACC-5355</t>
  </si>
  <si>
    <t>ACC-5356</t>
  </si>
  <si>
    <t>ACC-5357</t>
  </si>
  <si>
    <t>ACC-5358</t>
  </si>
  <si>
    <t>ACC-5359</t>
  </si>
  <si>
    <t>ACC-5360</t>
  </si>
  <si>
    <t>ACC-5361</t>
  </si>
  <si>
    <t>ACC-5362</t>
  </si>
  <si>
    <t>ACC-5363</t>
  </si>
  <si>
    <t>ACC-5364</t>
  </si>
  <si>
    <t>ACC-5365</t>
  </si>
  <si>
    <t>ACC-5366</t>
  </si>
  <si>
    <t>ACC-5367</t>
  </si>
  <si>
    <t>ACC-5368</t>
  </si>
  <si>
    <t>ACC-5369</t>
  </si>
  <si>
    <t>ACC-5370</t>
  </si>
  <si>
    <t>ACC-5371</t>
  </si>
  <si>
    <t>ACC-5372</t>
  </si>
  <si>
    <t>ACC-5373</t>
  </si>
  <si>
    <t>ACC-5374</t>
  </si>
  <si>
    <t>ACC-5375</t>
  </si>
  <si>
    <t>ACC-5376</t>
  </si>
  <si>
    <t>ACC-5377</t>
  </si>
  <si>
    <t>ACC-5378</t>
  </si>
  <si>
    <t>ACC-5379</t>
  </si>
  <si>
    <t>ACC-5380</t>
  </si>
  <si>
    <t>ACC-5381</t>
  </si>
  <si>
    <t>ACC-5382</t>
  </si>
  <si>
    <t>ACC-5383</t>
  </si>
  <si>
    <t>ACC-5384</t>
  </si>
  <si>
    <t>ACC-5385</t>
  </si>
  <si>
    <t>ACC-5386</t>
  </si>
  <si>
    <t>ACC-5387</t>
  </si>
  <si>
    <t>ACC-5388</t>
  </si>
  <si>
    <t>ACC-5389</t>
  </si>
  <si>
    <t>ACC-5390</t>
  </si>
  <si>
    <t>ACC-5391</t>
  </si>
  <si>
    <t>ACC-5392</t>
  </si>
  <si>
    <t>ACC-5393</t>
  </si>
  <si>
    <t>ACC-5394</t>
  </si>
  <si>
    <t>ACC-5395</t>
  </si>
  <si>
    <t>ACC-5396</t>
  </si>
  <si>
    <t>ACC-5397</t>
  </si>
  <si>
    <t>ACC-5398</t>
  </si>
  <si>
    <t>ACC-5399</t>
  </si>
  <si>
    <t>ACC-5400</t>
  </si>
  <si>
    <t>ACC-5401</t>
  </si>
  <si>
    <t>ACC-5402</t>
  </si>
  <si>
    <t>ACC-5403</t>
  </si>
  <si>
    <t>ACC-5404</t>
  </si>
  <si>
    <t>ACC-5405</t>
  </si>
  <si>
    <t>ACC-5406</t>
  </si>
  <si>
    <t>ACC-5407</t>
  </si>
  <si>
    <t>ACC-5408</t>
  </si>
  <si>
    <t>ACC-5409</t>
  </si>
  <si>
    <t>ACC-5410</t>
  </si>
  <si>
    <t>ACC-5411</t>
  </si>
  <si>
    <t>ACC-5412</t>
  </si>
  <si>
    <t>ACC-5413</t>
  </si>
  <si>
    <t>ACC-5414</t>
  </si>
  <si>
    <t>ACC-5415</t>
  </si>
  <si>
    <t>ACC-5416</t>
  </si>
  <si>
    <t>ACC-5417</t>
  </si>
  <si>
    <t>ACC-5418</t>
  </si>
  <si>
    <t>ACC-5419</t>
  </si>
  <si>
    <t>ACC-5420</t>
  </si>
  <si>
    <t>ACC-5421</t>
  </si>
  <si>
    <t>ACC-5422</t>
  </si>
  <si>
    <t>ACC-5423</t>
  </si>
  <si>
    <t>ACC-5424</t>
  </si>
  <si>
    <t>ACC-5425</t>
  </si>
  <si>
    <t>ACC-5426</t>
  </si>
  <si>
    <t>ACC-5427</t>
  </si>
  <si>
    <t>ACC-5428</t>
  </si>
  <si>
    <t>ACC-5429</t>
  </si>
  <si>
    <t>ACC-5430</t>
  </si>
  <si>
    <t>ACC-5431</t>
  </si>
  <si>
    <t>ACC-5432</t>
  </si>
  <si>
    <t>ACC-5433</t>
  </si>
  <si>
    <t>ACC-5434</t>
  </si>
  <si>
    <t>ACC-5435</t>
  </si>
  <si>
    <t>ACC-5436</t>
  </si>
  <si>
    <t>ACC-5437</t>
  </si>
  <si>
    <t>ACC-5438</t>
  </si>
  <si>
    <t>ACC-5439</t>
  </si>
  <si>
    <t>ACC-5440</t>
  </si>
  <si>
    <t>ACC-5441</t>
  </si>
  <si>
    <t>ACC-5442</t>
  </si>
  <si>
    <t>ACC-5443</t>
  </si>
  <si>
    <t>ACC-5444</t>
  </si>
  <si>
    <t>ACC-5445</t>
  </si>
  <si>
    <t>ACC-5446</t>
  </si>
  <si>
    <t>ACC-5447</t>
  </si>
  <si>
    <t>ACC-5448</t>
  </si>
  <si>
    <t>ACC-5449</t>
  </si>
  <si>
    <t>ACC-5450</t>
  </si>
  <si>
    <t>ACC-5451</t>
  </si>
  <si>
    <t>ACC-5452</t>
  </si>
  <si>
    <t>ACC-5453</t>
  </si>
  <si>
    <t>ACC-5454</t>
  </si>
  <si>
    <t>ACC-5455</t>
  </si>
  <si>
    <t>ACC-5456</t>
  </si>
  <si>
    <t>ACC-5457</t>
  </si>
  <si>
    <t>ACC-5458</t>
  </si>
  <si>
    <t>ACC-5459</t>
  </si>
  <si>
    <t>ACC-5460</t>
  </si>
  <si>
    <t>ACC-5461</t>
  </si>
  <si>
    <t>ACC-5462</t>
  </si>
  <si>
    <t>ACC-5463</t>
  </si>
  <si>
    <t>ACC-5464</t>
  </si>
  <si>
    <t>ACC-5465</t>
  </si>
  <si>
    <t>ACC-5466</t>
  </si>
  <si>
    <t>ACC-5467</t>
  </si>
  <si>
    <t>ACC-5468</t>
  </si>
  <si>
    <t>ACC-5469</t>
  </si>
  <si>
    <t>ACC-5470</t>
  </si>
  <si>
    <t>ACC-5471</t>
  </si>
  <si>
    <t>ACC-5472</t>
  </si>
  <si>
    <t>ACC-5473</t>
  </si>
  <si>
    <t>ACC-5474</t>
  </si>
  <si>
    <t>ACC-5475</t>
  </si>
  <si>
    <t>ACC-5476</t>
  </si>
  <si>
    <t>ACC-5477</t>
  </si>
  <si>
    <t>ACC-5478</t>
  </si>
  <si>
    <t>ACC-5479</t>
  </si>
  <si>
    <t>ACC-5480</t>
  </si>
  <si>
    <t>ACC-5481</t>
  </si>
  <si>
    <t>ACC-5482</t>
  </si>
  <si>
    <t>ACC-5483</t>
  </si>
  <si>
    <t>ACC-5484</t>
  </si>
  <si>
    <t>ACC-5485</t>
  </si>
  <si>
    <t>ACC-5486</t>
  </si>
  <si>
    <t>ACC-5487</t>
  </si>
  <si>
    <t>ACC-5488</t>
  </si>
  <si>
    <t>ACC-5489</t>
  </si>
  <si>
    <t>ACC-5490</t>
  </si>
  <si>
    <t>ACC-5491</t>
  </si>
  <si>
    <t>ACC-5492</t>
  </si>
  <si>
    <t>ACC-5493</t>
  </si>
  <si>
    <t>ACC-5494</t>
  </si>
  <si>
    <t>ACC-5495</t>
  </si>
  <si>
    <t>ACC-5496</t>
  </si>
  <si>
    <t>ACC-5497</t>
  </si>
  <si>
    <t>ACC-5498</t>
  </si>
  <si>
    <t>ACC-5499</t>
  </si>
  <si>
    <t>ACC-5500</t>
  </si>
  <si>
    <t>ACC-5501</t>
  </si>
  <si>
    <t>ACC-5502</t>
  </si>
  <si>
    <t>ACC-5503</t>
  </si>
  <si>
    <t>ACC-5504</t>
  </si>
  <si>
    <t>ACC-5505</t>
  </si>
  <si>
    <t>ACC-5506</t>
  </si>
  <si>
    <t>ACC-5507</t>
  </si>
  <si>
    <t>ACC-5508</t>
  </si>
  <si>
    <t>ACC-5509</t>
  </si>
  <si>
    <t>ACC-5510</t>
  </si>
  <si>
    <t>ACC-5511</t>
  </si>
  <si>
    <t>ACC-5512</t>
  </si>
  <si>
    <t>ACC-5513</t>
  </si>
  <si>
    <t>ACC-5514</t>
  </si>
  <si>
    <t>ACC-5515</t>
  </si>
  <si>
    <t>ACC-5516</t>
  </si>
  <si>
    <t>ACC-5517</t>
  </si>
  <si>
    <t>ACC-5518</t>
  </si>
  <si>
    <t>ACC-5519</t>
  </si>
  <si>
    <t>ACC-5520</t>
  </si>
  <si>
    <t>ACC-5521</t>
  </si>
  <si>
    <t>ACC-5522</t>
  </si>
  <si>
    <t>ACC-5523</t>
  </si>
  <si>
    <t>ACC-5524</t>
  </si>
  <si>
    <t>ACC-5525</t>
  </si>
  <si>
    <t>ACC-5526</t>
  </si>
  <si>
    <t>ACC-5527</t>
  </si>
  <si>
    <t>ACC-5528</t>
  </si>
  <si>
    <t>ACC-5529</t>
  </si>
  <si>
    <t>ACC-5530</t>
  </si>
  <si>
    <t>ACC-5531</t>
  </si>
  <si>
    <t>ACC-5532</t>
  </si>
  <si>
    <t>ACC-5533</t>
  </si>
  <si>
    <t>ACC-5534</t>
  </si>
  <si>
    <t>ACC-5535</t>
  </si>
  <si>
    <t>ACC-5536</t>
  </si>
  <si>
    <t>ACC-5537</t>
  </si>
  <si>
    <t>ACC-5538</t>
  </si>
  <si>
    <t>ACC-5539</t>
  </si>
  <si>
    <t>ACC-5540</t>
  </si>
  <si>
    <t>ACC-5541</t>
  </si>
  <si>
    <t>ACC-5542</t>
  </si>
  <si>
    <t>ACC-5543</t>
  </si>
  <si>
    <t>ACC-5544</t>
  </si>
  <si>
    <t>ACC-5545</t>
  </si>
  <si>
    <t>ACC-5546</t>
  </si>
  <si>
    <t>ACC-5547</t>
  </si>
  <si>
    <t>ACC-5548</t>
  </si>
  <si>
    <t>ACC-5549</t>
  </si>
  <si>
    <t>ACC-5550</t>
  </si>
  <si>
    <t>ACC-5551</t>
  </si>
  <si>
    <t>ACC-5552</t>
  </si>
  <si>
    <t>ACC-5553</t>
  </si>
  <si>
    <t>ACC-5554</t>
  </si>
  <si>
    <t>ACC-5555</t>
  </si>
  <si>
    <t>ACC-5556</t>
  </si>
  <si>
    <t>ACC-5557</t>
  </si>
  <si>
    <t>ACC-5558</t>
  </si>
  <si>
    <t>ACC-5559</t>
  </si>
  <si>
    <t>ACC-5560</t>
  </si>
  <si>
    <t>ACC-5561</t>
  </si>
  <si>
    <t>ACC-5562</t>
  </si>
  <si>
    <t>ACC-5563</t>
  </si>
  <si>
    <t>ACC-5564</t>
  </si>
  <si>
    <t>ACC-5565</t>
  </si>
  <si>
    <t>ACC-5566</t>
  </si>
  <si>
    <t>ACC-5567</t>
  </si>
  <si>
    <t>ACC-5568</t>
  </si>
  <si>
    <t>ACC-5569</t>
  </si>
  <si>
    <t>ACC-5570</t>
  </si>
  <si>
    <t>ACC-5571</t>
  </si>
  <si>
    <t>ACC-5572</t>
  </si>
  <si>
    <t>ACC-5573</t>
  </si>
  <si>
    <t>ACC-5574</t>
  </si>
  <si>
    <t>ACC-5575</t>
  </si>
  <si>
    <t>ACC-5576</t>
  </si>
  <si>
    <t>ACC-5577</t>
  </si>
  <si>
    <t>ACC-5578</t>
  </si>
  <si>
    <t>ACC-5579</t>
  </si>
  <si>
    <t>ACC-5580</t>
  </si>
  <si>
    <t>ACC-5581</t>
  </si>
  <si>
    <t>ACC-5582</t>
  </si>
  <si>
    <t>ACC-5583</t>
  </si>
  <si>
    <t>ACC-5584</t>
  </si>
  <si>
    <t>ACC-5585</t>
  </si>
  <si>
    <t>ACC-5586</t>
  </si>
  <si>
    <t>ACC-5587</t>
  </si>
  <si>
    <t>ACC-5588</t>
  </si>
  <si>
    <t>ACC-5589</t>
  </si>
  <si>
    <t>ACC-5590</t>
  </si>
  <si>
    <t>ACC-5591</t>
  </si>
  <si>
    <t>ACC-5592</t>
  </si>
  <si>
    <t>ACC-5593</t>
  </si>
  <si>
    <t>ACC-5594</t>
  </si>
  <si>
    <t>ACC-5595</t>
  </si>
  <si>
    <t>ACC-5596</t>
  </si>
  <si>
    <t>ACC-5597</t>
  </si>
  <si>
    <t>ACC-5598</t>
  </si>
  <si>
    <t>ACC-5599</t>
  </si>
  <si>
    <t>ACC-5600</t>
  </si>
  <si>
    <t>ACC-5601</t>
  </si>
  <si>
    <t>ACC-5602</t>
  </si>
  <si>
    <t>ACC-5603</t>
  </si>
  <si>
    <t>ACC-5604</t>
  </si>
  <si>
    <t>ACC-5605</t>
  </si>
  <si>
    <t>ACC-5606</t>
  </si>
  <si>
    <t>ACC-5607</t>
  </si>
  <si>
    <t>ACC-5608</t>
  </si>
  <si>
    <t>ACC-5609</t>
  </si>
  <si>
    <t>ACC-5610</t>
  </si>
  <si>
    <t>ACC-5611</t>
  </si>
  <si>
    <t>ACC-5612</t>
  </si>
  <si>
    <t>ACC-5613</t>
  </si>
  <si>
    <t>ACC-5614</t>
  </si>
  <si>
    <t>ACC-5615</t>
  </si>
  <si>
    <t>ACC-5616</t>
  </si>
  <si>
    <t>ACC-5617</t>
  </si>
  <si>
    <t>ACC-5618</t>
  </si>
  <si>
    <t>ACC-5619</t>
  </si>
  <si>
    <t>ACC-5620</t>
  </si>
  <si>
    <t>ACC-5621</t>
  </si>
  <si>
    <t>ACC-5622</t>
  </si>
  <si>
    <t>ACC-5623</t>
  </si>
  <si>
    <t>ACC-5624</t>
  </si>
  <si>
    <t>ACC-5625</t>
  </si>
  <si>
    <t>ACC-5626</t>
  </si>
  <si>
    <t>ACC-5627</t>
  </si>
  <si>
    <t>ACC-5628</t>
  </si>
  <si>
    <t>ACC-5629</t>
  </si>
  <si>
    <t>ACC-5630</t>
  </si>
  <si>
    <t>ACC-5631</t>
  </si>
  <si>
    <t>ACC-5632</t>
  </si>
  <si>
    <t>ACC-5633</t>
  </si>
  <si>
    <t>ACC-5634</t>
  </si>
  <si>
    <t>ACC-5635</t>
  </si>
  <si>
    <t>ACC-5636</t>
  </si>
  <si>
    <t>ACC-5637</t>
  </si>
  <si>
    <t>ACC-5638</t>
  </si>
  <si>
    <t>ACC-5639</t>
  </si>
  <si>
    <t>ACC-5640</t>
  </si>
  <si>
    <t>ACC-5641</t>
  </si>
  <si>
    <t>ACC-5642</t>
  </si>
  <si>
    <t>ACC-5643</t>
  </si>
  <si>
    <t>ACC-5644</t>
  </si>
  <si>
    <t>ACC-5645</t>
  </si>
  <si>
    <t>ACC-5646</t>
  </si>
  <si>
    <t>ACC-5647</t>
  </si>
  <si>
    <t>ACC-5648</t>
  </si>
  <si>
    <t>ACC-5649</t>
  </si>
  <si>
    <t>ACC-5650</t>
  </si>
  <si>
    <t>ACC-5651</t>
  </si>
  <si>
    <t>ACC-5652</t>
  </si>
  <si>
    <t>ACC-5653</t>
  </si>
  <si>
    <t>ACC-5654</t>
  </si>
  <si>
    <t>ACC-5655</t>
  </si>
  <si>
    <t>ACC-5656</t>
  </si>
  <si>
    <t>ACC-5657</t>
  </si>
  <si>
    <t>ACC-5658</t>
  </si>
  <si>
    <t>ACC-5659</t>
  </si>
  <si>
    <t>ACC-5660</t>
  </si>
  <si>
    <t>ACC-5661</t>
  </si>
  <si>
    <t>ACC-5662</t>
  </si>
  <si>
    <t>ACC-5663</t>
  </si>
  <si>
    <t>ACC-5664</t>
  </si>
  <si>
    <t>ACC-5665</t>
  </si>
  <si>
    <t>ACC-5666</t>
  </si>
  <si>
    <t>ACC-5667</t>
  </si>
  <si>
    <t>ACC-5668</t>
  </si>
  <si>
    <t>ACC-5669</t>
  </si>
  <si>
    <t>ACC-5670</t>
  </si>
  <si>
    <t>ACC-5671</t>
  </si>
  <si>
    <t>ACC-5672</t>
  </si>
  <si>
    <t>ACC-5673</t>
  </si>
  <si>
    <t>ACC-5674</t>
  </si>
  <si>
    <t>ACC-5675</t>
  </si>
  <si>
    <t>ACC-5676</t>
  </si>
  <si>
    <t>ACC-5677</t>
  </si>
  <si>
    <t>ACC-5678</t>
  </si>
  <si>
    <t>ACC-5679</t>
  </si>
  <si>
    <t>ACC-5680</t>
  </si>
  <si>
    <t>ACC-5681</t>
  </si>
  <si>
    <t>ACC-5682</t>
  </si>
  <si>
    <t>ACC-5683</t>
  </si>
  <si>
    <t>ACC-5684</t>
  </si>
  <si>
    <t>ACC-5685</t>
  </si>
  <si>
    <t>ACC-5686</t>
  </si>
  <si>
    <t>ACC-5687</t>
  </si>
  <si>
    <t>ACC-5688</t>
  </si>
  <si>
    <t>ACC-5689</t>
  </si>
  <si>
    <t>ACC-5690</t>
  </si>
  <si>
    <t>ACC-5691</t>
  </si>
  <si>
    <t>ACC-5692</t>
  </si>
  <si>
    <t>ACC-5693</t>
  </si>
  <si>
    <t>ACC-5694</t>
  </si>
  <si>
    <t>ACC-5695</t>
  </si>
  <si>
    <t>ACC-5696</t>
  </si>
  <si>
    <t>ACC-5697</t>
  </si>
  <si>
    <t>ACC-5698</t>
  </si>
  <si>
    <t>ACC-5699</t>
  </si>
  <si>
    <t>ACC-5700</t>
  </si>
  <si>
    <t>ACC-5701</t>
  </si>
  <si>
    <t>ACC-5702</t>
  </si>
  <si>
    <t>ACC-5703</t>
  </si>
  <si>
    <t>ACC-5704</t>
  </si>
  <si>
    <t>ACC-5705</t>
  </si>
  <si>
    <t>ACC-5706</t>
  </si>
  <si>
    <t>ACC-5707</t>
  </si>
  <si>
    <t>ACC-5708</t>
  </si>
  <si>
    <t>ACC-5709</t>
  </si>
  <si>
    <t>ACC-5710</t>
  </si>
  <si>
    <t>ACC-5711</t>
  </si>
  <si>
    <t>ACC-5712</t>
  </si>
  <si>
    <t>ACC-5713</t>
  </si>
  <si>
    <t>ACC-5714</t>
  </si>
  <si>
    <t>ACC-5715</t>
  </si>
  <si>
    <t>ACC-5716</t>
  </si>
  <si>
    <t>ACC-5717</t>
  </si>
  <si>
    <t>ACC-5718</t>
  </si>
  <si>
    <t>ACC-5719</t>
  </si>
  <si>
    <t>ACC-5720</t>
  </si>
  <si>
    <t>ACC-5721</t>
  </si>
  <si>
    <t>ACC-5722</t>
  </si>
  <si>
    <t>ACC-5723</t>
  </si>
  <si>
    <t>ACC-5724</t>
  </si>
  <si>
    <t>ACC-5725</t>
  </si>
  <si>
    <t>ACC-5726</t>
  </si>
  <si>
    <t>ACC-5727</t>
  </si>
  <si>
    <t>ACC-5728</t>
  </si>
  <si>
    <t>ACC-5729</t>
  </si>
  <si>
    <t>ACC-5730</t>
  </si>
  <si>
    <t>ACC-5731</t>
  </si>
  <si>
    <t>ACC-5732</t>
  </si>
  <si>
    <t>ACC-5733</t>
  </si>
  <si>
    <t>ACC-5734</t>
  </si>
  <si>
    <t>ACC-5735</t>
  </si>
  <si>
    <t>ACC-5736</t>
  </si>
  <si>
    <t>ACC-5737</t>
  </si>
  <si>
    <t>ACC-5738</t>
  </si>
  <si>
    <t>ACC-5739</t>
  </si>
  <si>
    <t>ACC-5740</t>
  </si>
  <si>
    <t>ACC-5741</t>
  </si>
  <si>
    <t>ACC-5742</t>
  </si>
  <si>
    <t>ACC-5743</t>
  </si>
  <si>
    <t>ACC-5744</t>
  </si>
  <si>
    <t>ACC-5745</t>
  </si>
  <si>
    <t>ACC-5746</t>
  </si>
  <si>
    <t>ACC-5747</t>
  </si>
  <si>
    <t>ACC-5748</t>
  </si>
  <si>
    <t>ACC-5749</t>
  </si>
  <si>
    <t>ACC-5750</t>
  </si>
  <si>
    <t>ACC-5751</t>
  </si>
  <si>
    <t>ACC-5752</t>
  </si>
  <si>
    <t>ACC-5753</t>
  </si>
  <si>
    <t>ACC-5754</t>
  </si>
  <si>
    <t>ACC-5755</t>
  </si>
  <si>
    <t>ACC-5756</t>
  </si>
  <si>
    <t>ACC-5757</t>
  </si>
  <si>
    <t>ACC-5758</t>
  </si>
  <si>
    <t>ACC-5759</t>
  </si>
  <si>
    <t>ACC-5760</t>
  </si>
  <si>
    <t>ACC-5761</t>
  </si>
  <si>
    <t>ACC-5762</t>
  </si>
  <si>
    <t>ACC-5763</t>
  </si>
  <si>
    <t>ACC-5764</t>
  </si>
  <si>
    <t>ACC-5765</t>
  </si>
  <si>
    <t>ACC-5766</t>
  </si>
  <si>
    <t>ACC-5767</t>
  </si>
  <si>
    <t>ACC-5768</t>
  </si>
  <si>
    <t>ACC-5769</t>
  </si>
  <si>
    <t>ACC-5770</t>
  </si>
  <si>
    <t>ACC-5771</t>
  </si>
  <si>
    <t>ACC-5772</t>
  </si>
  <si>
    <t>ACC-5773</t>
  </si>
  <si>
    <t>ACC-5774</t>
  </si>
  <si>
    <t>ACC-5775</t>
  </si>
  <si>
    <t>ACC-5776</t>
  </si>
  <si>
    <t>ACC-5777</t>
  </si>
  <si>
    <t>ACC-5778</t>
  </si>
  <si>
    <t>ACC-5779</t>
  </si>
  <si>
    <t>ACC-5780</t>
  </si>
  <si>
    <t>ACC-5781</t>
  </si>
  <si>
    <t>ACC-5782</t>
  </si>
  <si>
    <t>ACC-5783</t>
  </si>
  <si>
    <t>ACC-5784</t>
  </si>
  <si>
    <t>ACC-5785</t>
  </si>
  <si>
    <t>ACC-5786</t>
  </si>
  <si>
    <t>ACC-5787</t>
  </si>
  <si>
    <t>ACC-5788</t>
  </si>
  <si>
    <t>ACC-5789</t>
  </si>
  <si>
    <t>ACC-5790</t>
  </si>
  <si>
    <t>ACC-5791</t>
  </si>
  <si>
    <t>ACC-5792</t>
  </si>
  <si>
    <t>ACC-5793</t>
  </si>
  <si>
    <t>ACC-5794</t>
  </si>
  <si>
    <t>ACC-5795</t>
  </si>
  <si>
    <t>ACC-5796</t>
  </si>
  <si>
    <t>ACC-5797</t>
  </si>
  <si>
    <t>ACC-5798</t>
  </si>
  <si>
    <t>ACC-5799</t>
  </si>
  <si>
    <t>ACC-5800</t>
  </si>
  <si>
    <t>ACC-5801</t>
  </si>
  <si>
    <t>ACC-5802</t>
  </si>
  <si>
    <t>ACC-5803</t>
  </si>
  <si>
    <t>ACC-5804</t>
  </si>
  <si>
    <t>ACC-5805</t>
  </si>
  <si>
    <t>ACC-5806</t>
  </si>
  <si>
    <t>ACC-5807</t>
  </si>
  <si>
    <t>ACC-5808</t>
  </si>
  <si>
    <t>ACC-5809</t>
  </si>
  <si>
    <t>ACC-5810</t>
  </si>
  <si>
    <t>ACC-5811</t>
  </si>
  <si>
    <t>ACC-5812</t>
  </si>
  <si>
    <t>ACC-5813</t>
  </si>
  <si>
    <t>ACC-5814</t>
  </si>
  <si>
    <t>ACC-5815</t>
  </si>
  <si>
    <t>ACC-5816</t>
  </si>
  <si>
    <t>ACC-5817</t>
  </si>
  <si>
    <t>ACC-5818</t>
  </si>
  <si>
    <t>ACC-5819</t>
  </si>
  <si>
    <t>ACC-5820</t>
  </si>
  <si>
    <t>ACC-5821</t>
  </si>
  <si>
    <t>ACC-5822</t>
  </si>
  <si>
    <t>ACC-5823</t>
  </si>
  <si>
    <t>ACC-5824</t>
  </si>
  <si>
    <t>ACC-5825</t>
  </si>
  <si>
    <t>ACC-5826</t>
  </si>
  <si>
    <t>ACC-5827</t>
  </si>
  <si>
    <t>ACC-5828</t>
  </si>
  <si>
    <t>ACC-5829</t>
  </si>
  <si>
    <t>ACC-5830</t>
  </si>
  <si>
    <t>ACC-5831</t>
  </si>
  <si>
    <t>ACC-5832</t>
  </si>
  <si>
    <t>ACC-5833</t>
  </si>
  <si>
    <t>ACC-5834</t>
  </si>
  <si>
    <t>ACC-5835</t>
  </si>
  <si>
    <t>ACC-5836</t>
  </si>
  <si>
    <t>ACC-5837</t>
  </si>
  <si>
    <t>ACC-5838</t>
  </si>
  <si>
    <t>ACC-5839</t>
  </si>
  <si>
    <t>ACC-5840</t>
  </si>
  <si>
    <t>ACC-5841</t>
  </si>
  <si>
    <t>ACC-5842</t>
  </si>
  <si>
    <t>ACC-5843</t>
  </si>
  <si>
    <t>ACC-5844</t>
  </si>
  <si>
    <t>ACC-5845</t>
  </si>
  <si>
    <t>ACC-5846</t>
  </si>
  <si>
    <t>ACC-5847</t>
  </si>
  <si>
    <t>ACC-5848</t>
  </si>
  <si>
    <t>ACC-5849</t>
  </si>
  <si>
    <t>ACC-5850</t>
  </si>
  <si>
    <t>ACC-5851</t>
  </si>
  <si>
    <t>ACC-5852</t>
  </si>
  <si>
    <t>ACC-5853</t>
  </si>
  <si>
    <t>ACC-5854</t>
  </si>
  <si>
    <t>ACC-5855</t>
  </si>
  <si>
    <t>ACC-5856</t>
  </si>
  <si>
    <t>ACC-5857</t>
  </si>
  <si>
    <t>ACC-5858</t>
  </si>
  <si>
    <t>ACC-5859</t>
  </si>
  <si>
    <t>ACC-5860</t>
  </si>
  <si>
    <t>ACC-5861</t>
  </si>
  <si>
    <t>ACC-5862</t>
  </si>
  <si>
    <t>ACC-5863</t>
  </si>
  <si>
    <t>ACC-5864</t>
  </si>
  <si>
    <t>ACC-5865</t>
  </si>
  <si>
    <t>ACC-5866</t>
  </si>
  <si>
    <t>ACC-5867</t>
  </si>
  <si>
    <t>ACC-5868</t>
  </si>
  <si>
    <t>ACC-5869</t>
  </si>
  <si>
    <t>ACC-5870</t>
  </si>
  <si>
    <t>ACC-5871</t>
  </si>
  <si>
    <t>ACC-5872</t>
  </si>
  <si>
    <t>ACC-5873</t>
  </si>
  <si>
    <t>ACC-5874</t>
  </si>
  <si>
    <t>ACC-5875</t>
  </si>
  <si>
    <t>ACC-5876</t>
  </si>
  <si>
    <t>ACC-5877</t>
  </si>
  <si>
    <t>ACC-5878</t>
  </si>
  <si>
    <t>ACC-5879</t>
  </si>
  <si>
    <t>ACC-5880</t>
  </si>
  <si>
    <t>ACC-5881</t>
  </si>
  <si>
    <t>ACC-5882</t>
  </si>
  <si>
    <t>ACC-5883</t>
  </si>
  <si>
    <t>ACC-5884</t>
  </si>
  <si>
    <t>ACC-5885</t>
  </si>
  <si>
    <t>ACC-5886</t>
  </si>
  <si>
    <t>ACC-5887</t>
  </si>
  <si>
    <t>ACC-5888</t>
  </si>
  <si>
    <t>ACC-5889</t>
  </si>
  <si>
    <t>ACC-5890</t>
  </si>
  <si>
    <t>ACC-5891</t>
  </si>
  <si>
    <t>ACC-5892</t>
  </si>
  <si>
    <t>ACC-5893</t>
  </si>
  <si>
    <t>ACC-5894</t>
  </si>
  <si>
    <t>ACC-5895</t>
  </si>
  <si>
    <t>ACC-5896</t>
  </si>
  <si>
    <t>ACC-5897</t>
  </si>
  <si>
    <t>ACC-5898</t>
  </si>
  <si>
    <t>ACC-5899</t>
  </si>
  <si>
    <t>ACC-5900</t>
  </si>
  <si>
    <t>ACC-5901</t>
  </si>
  <si>
    <t>ACC-5902</t>
  </si>
  <si>
    <t>ACC-5903</t>
  </si>
  <si>
    <t>ACC-5904</t>
  </si>
  <si>
    <t>ACC-5905</t>
  </si>
  <si>
    <t>ACC-5906</t>
  </si>
  <si>
    <t>ACC-5907</t>
  </si>
  <si>
    <t>ACC-5908</t>
  </si>
  <si>
    <t>ACC-5909</t>
  </si>
  <si>
    <t>ACC-5910</t>
  </si>
  <si>
    <t>ACC-5911</t>
  </si>
  <si>
    <t>ACC-5912</t>
  </si>
  <si>
    <t>ACC-5913</t>
  </si>
  <si>
    <t>ACC-5914</t>
  </si>
  <si>
    <t>ACC-5915</t>
  </si>
  <si>
    <t>ACC-5916</t>
  </si>
  <si>
    <t>ACC-5917</t>
  </si>
  <si>
    <t>ACC-5918</t>
  </si>
  <si>
    <t>ACC-5919</t>
  </si>
  <si>
    <t>ACC-5920</t>
  </si>
  <si>
    <t>ACC-5921</t>
  </si>
  <si>
    <t>ACC-5922</t>
  </si>
  <si>
    <t>ACC-5923</t>
  </si>
  <si>
    <t>ACC-5924</t>
  </si>
  <si>
    <t>ACC-5925</t>
  </si>
  <si>
    <t>ACC-5926</t>
  </si>
  <si>
    <t>ACC-5927</t>
  </si>
  <si>
    <t>ACC-5928</t>
  </si>
  <si>
    <t>ACC-5929</t>
  </si>
  <si>
    <t>ACC-5930</t>
  </si>
  <si>
    <t>ACC-5931</t>
  </si>
  <si>
    <t>ACC-5932</t>
  </si>
  <si>
    <t>ACC-5933</t>
  </si>
  <si>
    <t>ACC-5934</t>
  </si>
  <si>
    <t>ACC-5935</t>
  </si>
  <si>
    <t>ACC-5936</t>
  </si>
  <si>
    <t>ACC-5937</t>
  </si>
  <si>
    <t>ACC-5938</t>
  </si>
  <si>
    <t>ACC-5939</t>
  </si>
  <si>
    <t>ACC-5940</t>
  </si>
  <si>
    <t>ACC-5941</t>
  </si>
  <si>
    <t>ACC-5942</t>
  </si>
  <si>
    <t>ACC-5943</t>
  </si>
  <si>
    <t>ACC-5944</t>
  </si>
  <si>
    <t>ACC-5945</t>
  </si>
  <si>
    <t>ACC-5946</t>
  </si>
  <si>
    <t>ACC-5947</t>
  </si>
  <si>
    <t>ACC-5948</t>
  </si>
  <si>
    <t>ACC-5949</t>
  </si>
  <si>
    <t>ACC-5950</t>
  </si>
  <si>
    <t>ACC-5951</t>
  </si>
  <si>
    <t>ACC-5952</t>
  </si>
  <si>
    <t>ACC-5953</t>
  </si>
  <si>
    <t>ACC-5954</t>
  </si>
  <si>
    <t>ACC-5955</t>
  </si>
  <si>
    <t>ACC-5956</t>
  </si>
  <si>
    <t>ACC-5957</t>
  </si>
  <si>
    <t>ACC-5958</t>
  </si>
  <si>
    <t>ACC-5959</t>
  </si>
  <si>
    <t>ACC-5960</t>
  </si>
  <si>
    <t>ACC-5961</t>
  </si>
  <si>
    <t>ACC-5962</t>
  </si>
  <si>
    <t>ACC-5963</t>
  </si>
  <si>
    <t>ACC-5964</t>
  </si>
  <si>
    <t>ACC-5965</t>
  </si>
  <si>
    <t>ACC-5966</t>
  </si>
  <si>
    <t>ACC-5967</t>
  </si>
  <si>
    <t>ACC-5968</t>
  </si>
  <si>
    <t>ACC-5969</t>
  </si>
  <si>
    <t>ACC-5970</t>
  </si>
  <si>
    <t>ACC-5971</t>
  </si>
  <si>
    <t>ACC-5972</t>
  </si>
  <si>
    <t>ACC-5973</t>
  </si>
  <si>
    <t>ACC-5974</t>
  </si>
  <si>
    <t>ACC-5975</t>
  </si>
  <si>
    <t>ACC-5976</t>
  </si>
  <si>
    <t>ACC-5977</t>
  </si>
  <si>
    <t>ACC-5978</t>
  </si>
  <si>
    <t>ACC-5979</t>
  </si>
  <si>
    <t>ACC-5980</t>
  </si>
  <si>
    <t>ACC-5981</t>
  </si>
  <si>
    <t>ACC-5982</t>
  </si>
  <si>
    <t>ACC-5983</t>
  </si>
  <si>
    <t>ACC-5984</t>
  </si>
  <si>
    <t>ACC-5985</t>
  </si>
  <si>
    <t>ACC-5986</t>
  </si>
  <si>
    <t>ACC-5987</t>
  </si>
  <si>
    <t>ACC-5988</t>
  </si>
  <si>
    <t>ACC-5989</t>
  </si>
  <si>
    <t>ACC-5990</t>
  </si>
  <si>
    <t>ACC-5991</t>
  </si>
  <si>
    <t>ACC-5992</t>
  </si>
  <si>
    <t>ACC-5993</t>
  </si>
  <si>
    <t>ACC-5994</t>
  </si>
  <si>
    <t>ACC-5995</t>
  </si>
  <si>
    <t>ACC-5996</t>
  </si>
  <si>
    <t>ACC-5997</t>
  </si>
  <si>
    <t>ACC-5998</t>
  </si>
  <si>
    <t>ACC-5999</t>
  </si>
  <si>
    <t>ACC-6000</t>
  </si>
  <si>
    <t>Valid_Credit_Score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</si>
</sst>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228A86-2279-4C3A-8F39-8E3FA7851DA7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Account_Number" tableColumnId="1"/>
      <queryTableField id="2" name="Loan_Product_Type" tableColumnId="2"/>
      <queryTableField id="3" name="Origination_Date" tableColumnId="3"/>
      <queryTableField id="4" name="Total_Loan_Amount_USD" tableColumnId="4"/>
      <queryTableField id="5" name="Borrower_Credit_Score" tableColumnId="5"/>
      <queryTableField id="6" name="Debt_to_Income_Ratio" tableColumnId="6"/>
      <queryTableField id="7" name="Missed_Payments_Count" tableColumnId="7"/>
      <queryTableField id="8" name="Employment_Industry" tableColumnId="8"/>
      <queryTableField id="9" name="Loan_Status" tableColumnId="9"/>
      <queryTableField id="10" name="loan_age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58871-A2BC-4719-9657-6C33E71CF98A}" name="Banking_Credit_Risk_Dirty" displayName="Banking_Credit_Risk_Dirty" ref="A1:K1001" tableType="queryTable" totalsRowShown="0">
  <autoFilter ref="A1:K1001" xr:uid="{D3558871-A2BC-4719-9657-6C33E71CF98A}"/>
  <tableColumns count="11">
    <tableColumn id="1" xr3:uid="{A2EF6286-CBED-4DBA-91F4-A4A7EFD5D58B}" uniqueName="1" name="Account_Number" queryTableFieldId="1" dataDxfId="5"/>
    <tableColumn id="2" xr3:uid="{315C28C5-178D-41A6-9E04-B45E32653E98}" uniqueName="2" name="Loan_Product_Type" queryTableFieldId="2" dataDxfId="4"/>
    <tableColumn id="3" xr3:uid="{272C98E9-0260-4998-82AF-67A1814E7928}" uniqueName="3" name="Origination_Date" queryTableFieldId="3" dataDxfId="3"/>
    <tableColumn id="4" xr3:uid="{053AB14F-2D4A-42B8-B8DA-72CE675BB1CB}" uniqueName="4" name="Total_Loan_Amount_USD" queryTableFieldId="4"/>
    <tableColumn id="5" xr3:uid="{0D5F7397-2C79-4432-A81D-93E3308CE4E7}" uniqueName="5" name="Borrower_Credit_Score" queryTableFieldId="5"/>
    <tableColumn id="6" xr3:uid="{313E5435-6AB1-4666-B68A-E600E7D9B7AB}" uniqueName="6" name="Debt_to_Income_Ratio" queryTableFieldId="6"/>
    <tableColumn id="7" xr3:uid="{D438C7D3-BA22-4383-9FDA-46F88891795C}" uniqueName="7" name="Missed_Payments_Count" queryTableFieldId="7"/>
    <tableColumn id="8" xr3:uid="{B741E98B-BDFD-4C43-B5CC-6CA553DD6E12}" uniqueName="8" name="Employment_Industry" queryTableFieldId="8" dataDxfId="2"/>
    <tableColumn id="9" xr3:uid="{845E1525-34C3-4BEA-8B5D-AFAE75F83136}" uniqueName="9" name="Loan_Status" queryTableFieldId="9" dataDxfId="1"/>
    <tableColumn id="10" xr3:uid="{B4187362-0CA1-4EBB-9B4E-7ECD2BDE4603}" uniqueName="10" name="loan_age" queryTableFieldId="10"/>
    <tableColumn id="11" xr3:uid="{8EE36222-00F4-4A98-BF42-3B32B7DCF35E}" uniqueName="11" name="Valid_Credit_Score" queryTableFieldId="11" dataDxfId="0">
      <calculatedColumnFormula>IF(AND(Banking_Credit_Risk_Dirty[[#This Row],[Borrower_Credit_Score]]&gt;=300,Banking_Credit_Risk_Dirty[[#This Row],[Borrower_Credit_Score]]&lt;=850),Banking_Credit_Risk_Dirty[[#This Row],[Borrower_Credit_Score]],"")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168A-CA9B-4D14-8EEF-C7774C9DBA1D}">
  <dimension ref="A1:K1001"/>
  <sheetViews>
    <sheetView tabSelected="1" topLeftCell="F1" workbookViewId="0">
      <selection activeCell="H11" sqref="H11"/>
    </sheetView>
  </sheetViews>
  <sheetFormatPr defaultRowHeight="15" x14ac:dyDescent="0.25"/>
  <cols>
    <col min="1" max="1" width="18.85546875" bestFit="1" customWidth="1"/>
    <col min="2" max="2" width="20.85546875" bestFit="1" customWidth="1"/>
    <col min="3" max="3" width="18.5703125" bestFit="1" customWidth="1"/>
    <col min="4" max="4" width="25.85546875" bestFit="1" customWidth="1"/>
    <col min="5" max="5" width="24.42578125" bestFit="1" customWidth="1"/>
    <col min="6" max="6" width="24" bestFit="1" customWidth="1"/>
    <col min="7" max="7" width="26.28515625" bestFit="1" customWidth="1"/>
    <col min="8" max="8" width="23.28515625" bestFit="1" customWidth="1"/>
    <col min="9" max="9" width="14.5703125" bestFit="1" customWidth="1"/>
    <col min="10" max="10" width="12.28515625" customWidth="1"/>
    <col min="11" max="11" width="2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1024</v>
      </c>
    </row>
    <row r="2" spans="1:11" x14ac:dyDescent="0.25">
      <c r="A2" s="2" t="s">
        <v>10</v>
      </c>
      <c r="B2" s="2" t="s">
        <v>11</v>
      </c>
      <c r="C2" s="1">
        <v>45632</v>
      </c>
      <c r="D2">
        <v>135853</v>
      </c>
      <c r="E2">
        <v>719</v>
      </c>
      <c r="F2">
        <v>0.46</v>
      </c>
      <c r="G2">
        <v>0</v>
      </c>
      <c r="H2" s="2" t="s">
        <v>12</v>
      </c>
      <c r="I2" s="2" t="s">
        <v>13</v>
      </c>
      <c r="J2">
        <v>21</v>
      </c>
      <c r="K2">
        <f>IF(AND(Banking_Credit_Risk_Dirty[[#This Row],[Borrower_Credit_Score]]&gt;=300,Banking_Credit_Risk_Dirty[[#This Row],[Borrower_Credit_Score]]&lt;=850),Banking_Credit_Risk_Dirty[[#This Row],[Borrower_Credit_Score]],"")</f>
        <v>719</v>
      </c>
    </row>
    <row r="3" spans="1:11" x14ac:dyDescent="0.25">
      <c r="A3" s="2" t="s">
        <v>14</v>
      </c>
      <c r="B3" s="2" t="s">
        <v>15</v>
      </c>
      <c r="C3" s="1">
        <v>45430</v>
      </c>
      <c r="D3">
        <v>37494</v>
      </c>
      <c r="E3">
        <v>802</v>
      </c>
      <c r="F3">
        <v>0.63</v>
      </c>
      <c r="G3">
        <v>1</v>
      </c>
      <c r="H3" s="2" t="s">
        <v>16</v>
      </c>
      <c r="I3" s="2" t="s">
        <v>17</v>
      </c>
      <c r="J3">
        <v>27</v>
      </c>
      <c r="K3">
        <f>IF(AND(Banking_Credit_Risk_Dirty[[#This Row],[Borrower_Credit_Score]]&gt;=300,Banking_Credit_Risk_Dirty[[#This Row],[Borrower_Credit_Score]]&lt;=850),Banking_Credit_Risk_Dirty[[#This Row],[Borrower_Credit_Score]],"")</f>
        <v>802</v>
      </c>
    </row>
    <row r="4" spans="1:11" x14ac:dyDescent="0.25">
      <c r="A4" s="2" t="s">
        <v>18</v>
      </c>
      <c r="B4" s="2" t="s">
        <v>11</v>
      </c>
      <c r="C4" s="1">
        <v>45977</v>
      </c>
      <c r="D4">
        <v>68204</v>
      </c>
      <c r="E4">
        <v>511</v>
      </c>
      <c r="F4">
        <v>0.3</v>
      </c>
      <c r="G4">
        <v>0</v>
      </c>
      <c r="H4" s="2" t="s">
        <v>19</v>
      </c>
      <c r="I4" s="2" t="s">
        <v>13</v>
      </c>
      <c r="J4">
        <v>9</v>
      </c>
      <c r="K4">
        <f>IF(AND(Banking_Credit_Risk_Dirty[[#This Row],[Borrower_Credit_Score]]&gt;=300,Banking_Credit_Risk_Dirty[[#This Row],[Borrower_Credit_Score]]&lt;=850),Banking_Credit_Risk_Dirty[[#This Row],[Borrower_Credit_Score]],"")</f>
        <v>511</v>
      </c>
    </row>
    <row r="5" spans="1:11" x14ac:dyDescent="0.25">
      <c r="A5" s="2" t="s">
        <v>20</v>
      </c>
      <c r="B5" s="2" t="s">
        <v>21</v>
      </c>
      <c r="C5" s="1">
        <v>45545</v>
      </c>
      <c r="D5">
        <v>69263</v>
      </c>
      <c r="E5">
        <v>540</v>
      </c>
      <c r="F5">
        <v>0.25</v>
      </c>
      <c r="G5">
        <v>1</v>
      </c>
      <c r="H5" s="2" t="s">
        <v>22</v>
      </c>
      <c r="I5" s="2" t="s">
        <v>23</v>
      </c>
      <c r="J5">
        <v>23</v>
      </c>
      <c r="K5">
        <f>IF(AND(Banking_Credit_Risk_Dirty[[#This Row],[Borrower_Credit_Score]]&gt;=300,Banking_Credit_Risk_Dirty[[#This Row],[Borrower_Credit_Score]]&lt;=850),Banking_Credit_Risk_Dirty[[#This Row],[Borrower_Credit_Score]],"")</f>
        <v>540</v>
      </c>
    </row>
    <row r="6" spans="1:11" x14ac:dyDescent="0.25">
      <c r="A6" s="2" t="s">
        <v>24</v>
      </c>
      <c r="B6" s="2" t="s">
        <v>11</v>
      </c>
      <c r="C6" s="1">
        <v>45801</v>
      </c>
      <c r="D6">
        <v>107276</v>
      </c>
      <c r="E6">
        <v>691</v>
      </c>
      <c r="F6">
        <v>0.41</v>
      </c>
      <c r="G6">
        <v>0</v>
      </c>
      <c r="H6" s="2" t="s">
        <v>19</v>
      </c>
      <c r="I6" s="2" t="s">
        <v>13</v>
      </c>
      <c r="J6">
        <v>15</v>
      </c>
      <c r="K6">
        <f>IF(AND(Banking_Credit_Risk_Dirty[[#This Row],[Borrower_Credit_Score]]&gt;=300,Banking_Credit_Risk_Dirty[[#This Row],[Borrower_Credit_Score]]&lt;=850),Banking_Credit_Risk_Dirty[[#This Row],[Borrower_Credit_Score]],"")</f>
        <v>691</v>
      </c>
    </row>
    <row r="7" spans="1:11" x14ac:dyDescent="0.25">
      <c r="A7" s="2" t="s">
        <v>25</v>
      </c>
      <c r="B7" s="2" t="s">
        <v>11</v>
      </c>
      <c r="C7" s="1">
        <v>45433</v>
      </c>
      <c r="D7">
        <v>23306</v>
      </c>
      <c r="E7">
        <v>817</v>
      </c>
      <c r="F7">
        <v>0.59</v>
      </c>
      <c r="G7">
        <v>0</v>
      </c>
      <c r="H7" s="2" t="s">
        <v>19</v>
      </c>
      <c r="I7" s="2" t="s">
        <v>13</v>
      </c>
      <c r="J7">
        <v>27</v>
      </c>
      <c r="K7">
        <f>IF(AND(Banking_Credit_Risk_Dirty[[#This Row],[Borrower_Credit_Score]]&gt;=300,Banking_Credit_Risk_Dirty[[#This Row],[Borrower_Credit_Score]]&lt;=850),Banking_Credit_Risk_Dirty[[#This Row],[Borrower_Credit_Score]],"")</f>
        <v>817</v>
      </c>
    </row>
    <row r="8" spans="1:11" x14ac:dyDescent="0.25">
      <c r="A8" s="2" t="s">
        <v>26</v>
      </c>
      <c r="B8" s="2" t="s">
        <v>21</v>
      </c>
      <c r="C8" s="1">
        <v>45686</v>
      </c>
      <c r="D8">
        <v>46442</v>
      </c>
      <c r="E8">
        <v>672</v>
      </c>
      <c r="F8">
        <v>0.5</v>
      </c>
      <c r="G8">
        <v>0</v>
      </c>
      <c r="H8" s="2" t="s">
        <v>27</v>
      </c>
      <c r="I8" s="2" t="s">
        <v>17</v>
      </c>
      <c r="J8">
        <v>19</v>
      </c>
      <c r="K8">
        <f>IF(AND(Banking_Credit_Risk_Dirty[[#This Row],[Borrower_Credit_Score]]&gt;=300,Banking_Credit_Risk_Dirty[[#This Row],[Borrower_Credit_Score]]&lt;=850),Banking_Credit_Risk_Dirty[[#This Row],[Borrower_Credit_Score]],"")</f>
        <v>672</v>
      </c>
    </row>
    <row r="9" spans="1:11" x14ac:dyDescent="0.25">
      <c r="A9" s="2" t="s">
        <v>28</v>
      </c>
      <c r="B9" s="2" t="s">
        <v>15</v>
      </c>
      <c r="C9" s="1">
        <v>45876</v>
      </c>
      <c r="D9">
        <v>52472</v>
      </c>
      <c r="E9">
        <v>649</v>
      </c>
      <c r="F9">
        <v>0.46</v>
      </c>
      <c r="G9">
        <v>2</v>
      </c>
      <c r="H9" s="2" t="s">
        <v>19</v>
      </c>
      <c r="I9" s="2" t="s">
        <v>17</v>
      </c>
      <c r="J9">
        <v>13</v>
      </c>
      <c r="K9">
        <f>IF(AND(Banking_Credit_Risk_Dirty[[#This Row],[Borrower_Credit_Score]]&gt;=300,Banking_Credit_Risk_Dirty[[#This Row],[Borrower_Credit_Score]]&lt;=850),Banking_Credit_Risk_Dirty[[#This Row],[Borrower_Credit_Score]],"")</f>
        <v>649</v>
      </c>
    </row>
    <row r="10" spans="1:11" x14ac:dyDescent="0.25">
      <c r="A10" s="2" t="s">
        <v>29</v>
      </c>
      <c r="B10" s="2" t="s">
        <v>21</v>
      </c>
      <c r="C10" s="1">
        <v>45714</v>
      </c>
      <c r="D10">
        <v>73972</v>
      </c>
      <c r="E10">
        <v>672</v>
      </c>
      <c r="F10">
        <v>0.46</v>
      </c>
      <c r="G10">
        <v>0</v>
      </c>
      <c r="H10" s="2" t="s">
        <v>19</v>
      </c>
      <c r="I10" s="2" t="s">
        <v>13</v>
      </c>
      <c r="J10">
        <v>18</v>
      </c>
      <c r="K10">
        <f>IF(AND(Banking_Credit_Risk_Dirty[[#This Row],[Borrower_Credit_Score]]&gt;=300,Banking_Credit_Risk_Dirty[[#This Row],[Borrower_Credit_Score]]&lt;=850),Banking_Credit_Risk_Dirty[[#This Row],[Borrower_Credit_Score]],"")</f>
        <v>672</v>
      </c>
    </row>
    <row r="11" spans="1:11" x14ac:dyDescent="0.25">
      <c r="A11" s="2" t="s">
        <v>30</v>
      </c>
      <c r="B11" s="2" t="s">
        <v>21</v>
      </c>
      <c r="C11" s="1">
        <v>45621</v>
      </c>
      <c r="D11">
        <v>147382</v>
      </c>
      <c r="E11">
        <v>806</v>
      </c>
      <c r="F11">
        <v>0.41</v>
      </c>
      <c r="G11">
        <v>0</v>
      </c>
      <c r="H11" s="2" t="s">
        <v>19</v>
      </c>
      <c r="I11" s="2" t="s">
        <v>13</v>
      </c>
      <c r="J11">
        <v>21</v>
      </c>
      <c r="K11">
        <f>IF(AND(Banking_Credit_Risk_Dirty[[#This Row],[Borrower_Credit_Score]]&gt;=300,Banking_Credit_Risk_Dirty[[#This Row],[Borrower_Credit_Score]]&lt;=850),Banking_Credit_Risk_Dirty[[#This Row],[Borrower_Credit_Score]],"")</f>
        <v>806</v>
      </c>
    </row>
    <row r="12" spans="1:11" x14ac:dyDescent="0.25">
      <c r="A12" s="2" t="s">
        <v>31</v>
      </c>
      <c r="B12" s="2" t="s">
        <v>21</v>
      </c>
      <c r="C12" s="1">
        <v>45609</v>
      </c>
      <c r="D12">
        <v>25467</v>
      </c>
      <c r="E12">
        <v>552</v>
      </c>
      <c r="F12">
        <v>0.33</v>
      </c>
      <c r="G12">
        <v>0</v>
      </c>
      <c r="H12" s="2" t="s">
        <v>19</v>
      </c>
      <c r="I12" s="2" t="s">
        <v>13</v>
      </c>
      <c r="J12">
        <v>21</v>
      </c>
      <c r="K12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13" spans="1:11" x14ac:dyDescent="0.25">
      <c r="A13" s="2" t="s">
        <v>32</v>
      </c>
      <c r="B13" s="2" t="s">
        <v>15</v>
      </c>
      <c r="C13" s="1">
        <v>45738</v>
      </c>
      <c r="D13">
        <v>149313</v>
      </c>
      <c r="E13">
        <v>777</v>
      </c>
      <c r="F13">
        <v>0.6</v>
      </c>
      <c r="G13">
        <v>5</v>
      </c>
      <c r="H13" s="2" t="s">
        <v>19</v>
      </c>
      <c r="I13" s="2" t="s">
        <v>23</v>
      </c>
      <c r="J13">
        <v>17</v>
      </c>
      <c r="K13">
        <f>IF(AND(Banking_Credit_Risk_Dirty[[#This Row],[Borrower_Credit_Score]]&gt;=300,Banking_Credit_Risk_Dirty[[#This Row],[Borrower_Credit_Score]]&lt;=850),Banking_Credit_Risk_Dirty[[#This Row],[Borrower_Credit_Score]],"")</f>
        <v>777</v>
      </c>
    </row>
    <row r="14" spans="1:11" x14ac:dyDescent="0.25">
      <c r="A14" s="2" t="s">
        <v>33</v>
      </c>
      <c r="B14" s="2" t="s">
        <v>15</v>
      </c>
      <c r="C14" s="1">
        <v>45786</v>
      </c>
      <c r="D14">
        <v>48549</v>
      </c>
      <c r="E14">
        <v>594</v>
      </c>
      <c r="F14">
        <v>0.46</v>
      </c>
      <c r="G14">
        <v>0</v>
      </c>
      <c r="H14" s="2" t="s">
        <v>22</v>
      </c>
      <c r="I14" s="2" t="s">
        <v>13</v>
      </c>
      <c r="J14">
        <v>16</v>
      </c>
      <c r="K14">
        <f>IF(AND(Banking_Credit_Risk_Dirty[[#This Row],[Borrower_Credit_Score]]&gt;=300,Banking_Credit_Risk_Dirty[[#This Row],[Borrower_Credit_Score]]&lt;=850),Banking_Credit_Risk_Dirty[[#This Row],[Borrower_Credit_Score]],"")</f>
        <v>594</v>
      </c>
    </row>
    <row r="15" spans="1:11" x14ac:dyDescent="0.25">
      <c r="A15" s="2" t="s">
        <v>34</v>
      </c>
      <c r="B15" s="2" t="s">
        <v>21</v>
      </c>
      <c r="C15" s="1">
        <v>45486</v>
      </c>
      <c r="D15">
        <v>43898</v>
      </c>
      <c r="E15">
        <v>616</v>
      </c>
      <c r="F15">
        <v>0.15</v>
      </c>
      <c r="G15">
        <v>5</v>
      </c>
      <c r="H15" s="2" t="s">
        <v>16</v>
      </c>
      <c r="I15" s="2" t="s">
        <v>17</v>
      </c>
      <c r="J15">
        <v>25</v>
      </c>
      <c r="K15">
        <f>IF(AND(Banking_Credit_Risk_Dirty[[#This Row],[Borrower_Credit_Score]]&gt;=300,Banking_Credit_Risk_Dirty[[#This Row],[Borrower_Credit_Score]]&lt;=850),Banking_Credit_Risk_Dirty[[#This Row],[Borrower_Credit_Score]],"")</f>
        <v>616</v>
      </c>
    </row>
    <row r="16" spans="1:11" x14ac:dyDescent="0.25">
      <c r="A16" s="2" t="s">
        <v>35</v>
      </c>
      <c r="B16" s="2" t="s">
        <v>21</v>
      </c>
      <c r="C16" s="1">
        <v>45778</v>
      </c>
      <c r="D16">
        <v>81716</v>
      </c>
      <c r="E16">
        <v>803</v>
      </c>
      <c r="F16">
        <v>0.35</v>
      </c>
      <c r="G16">
        <v>0</v>
      </c>
      <c r="H16" s="2" t="s">
        <v>22</v>
      </c>
      <c r="I16" s="2" t="s">
        <v>13</v>
      </c>
      <c r="J16">
        <v>16</v>
      </c>
      <c r="K16">
        <f>IF(AND(Banking_Credit_Risk_Dirty[[#This Row],[Borrower_Credit_Score]]&gt;=300,Banking_Credit_Risk_Dirty[[#This Row],[Borrower_Credit_Score]]&lt;=850),Banking_Credit_Risk_Dirty[[#This Row],[Borrower_Credit_Score]],"")</f>
        <v>803</v>
      </c>
    </row>
    <row r="17" spans="1:11" x14ac:dyDescent="0.25">
      <c r="A17" s="2" t="s">
        <v>36</v>
      </c>
      <c r="B17" s="2" t="s">
        <v>15</v>
      </c>
      <c r="C17" s="1">
        <v>45599</v>
      </c>
      <c r="D17">
        <v>138322</v>
      </c>
      <c r="E17">
        <v>610</v>
      </c>
      <c r="F17">
        <v>0.33</v>
      </c>
      <c r="G17">
        <v>0</v>
      </c>
      <c r="H17" s="2" t="s">
        <v>19</v>
      </c>
      <c r="I17" s="2" t="s">
        <v>13</v>
      </c>
      <c r="J17">
        <v>22</v>
      </c>
      <c r="K17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18" spans="1:11" x14ac:dyDescent="0.25">
      <c r="A18" s="2" t="s">
        <v>37</v>
      </c>
      <c r="B18" s="2" t="s">
        <v>15</v>
      </c>
      <c r="C18" s="1">
        <v>45693</v>
      </c>
      <c r="D18">
        <v>104805</v>
      </c>
      <c r="E18">
        <v>729</v>
      </c>
      <c r="F18">
        <v>0.35</v>
      </c>
      <c r="G18">
        <v>0</v>
      </c>
      <c r="H18" s="2" t="s">
        <v>16</v>
      </c>
      <c r="I18" s="2" t="s">
        <v>13</v>
      </c>
      <c r="J18">
        <v>19</v>
      </c>
      <c r="K18">
        <f>IF(AND(Banking_Credit_Risk_Dirty[[#This Row],[Borrower_Credit_Score]]&gt;=300,Banking_Credit_Risk_Dirty[[#This Row],[Borrower_Credit_Score]]&lt;=850),Banking_Credit_Risk_Dirty[[#This Row],[Borrower_Credit_Score]],"")</f>
        <v>729</v>
      </c>
    </row>
    <row r="19" spans="1:11" x14ac:dyDescent="0.25">
      <c r="A19" s="2" t="s">
        <v>38</v>
      </c>
      <c r="B19" s="2" t="s">
        <v>15</v>
      </c>
      <c r="C19" s="1">
        <v>45673</v>
      </c>
      <c r="D19">
        <v>127820</v>
      </c>
      <c r="E19">
        <v>703</v>
      </c>
      <c r="F19">
        <v>0.5</v>
      </c>
      <c r="G19">
        <v>4</v>
      </c>
      <c r="H19" s="2" t="s">
        <v>12</v>
      </c>
      <c r="I19" s="2" t="s">
        <v>23</v>
      </c>
      <c r="J19">
        <v>19</v>
      </c>
      <c r="K19">
        <f>IF(AND(Banking_Credit_Risk_Dirty[[#This Row],[Borrower_Credit_Score]]&gt;=300,Banking_Credit_Risk_Dirty[[#This Row],[Borrower_Credit_Score]]&lt;=850),Banking_Credit_Risk_Dirty[[#This Row],[Borrower_Credit_Score]],"")</f>
        <v>703</v>
      </c>
    </row>
    <row r="20" spans="1:11" x14ac:dyDescent="0.25">
      <c r="A20" s="2" t="s">
        <v>39</v>
      </c>
      <c r="B20" s="2" t="s">
        <v>11</v>
      </c>
      <c r="C20" s="1">
        <v>45309</v>
      </c>
      <c r="D20">
        <v>124886</v>
      </c>
      <c r="E20">
        <v>544</v>
      </c>
      <c r="F20">
        <v>0.21</v>
      </c>
      <c r="G20">
        <v>6</v>
      </c>
      <c r="H20" s="2" t="s">
        <v>12</v>
      </c>
      <c r="I20" s="2" t="s">
        <v>17</v>
      </c>
      <c r="J20">
        <v>31</v>
      </c>
      <c r="K20">
        <f>IF(AND(Banking_Credit_Risk_Dirty[[#This Row],[Borrower_Credit_Score]]&gt;=300,Banking_Credit_Risk_Dirty[[#This Row],[Borrower_Credit_Score]]&lt;=850),Banking_Credit_Risk_Dirty[[#This Row],[Borrower_Credit_Score]],"")</f>
        <v>544</v>
      </c>
    </row>
    <row r="21" spans="1:11" x14ac:dyDescent="0.25">
      <c r="A21" s="2" t="s">
        <v>40</v>
      </c>
      <c r="B21" s="2" t="s">
        <v>11</v>
      </c>
      <c r="C21" s="1">
        <v>45503</v>
      </c>
      <c r="D21">
        <v>137705</v>
      </c>
      <c r="E21">
        <v>517</v>
      </c>
      <c r="F21">
        <v>0.31</v>
      </c>
      <c r="G21">
        <v>0</v>
      </c>
      <c r="H21" s="2" t="s">
        <v>41</v>
      </c>
      <c r="I21" s="2" t="s">
        <v>13</v>
      </c>
      <c r="J21">
        <v>25</v>
      </c>
      <c r="K21">
        <f>IF(AND(Banking_Credit_Risk_Dirty[[#This Row],[Borrower_Credit_Score]]&gt;=300,Banking_Credit_Risk_Dirty[[#This Row],[Borrower_Credit_Score]]&lt;=850),Banking_Credit_Risk_Dirty[[#This Row],[Borrower_Credit_Score]],"")</f>
        <v>517</v>
      </c>
    </row>
    <row r="22" spans="1:11" x14ac:dyDescent="0.25">
      <c r="A22" s="2" t="s">
        <v>42</v>
      </c>
      <c r="B22" s="2" t="s">
        <v>43</v>
      </c>
      <c r="C22" s="1">
        <v>45459</v>
      </c>
      <c r="D22">
        <v>111008</v>
      </c>
      <c r="E22">
        <v>718</v>
      </c>
      <c r="F22">
        <v>0.49</v>
      </c>
      <c r="G22">
        <v>0</v>
      </c>
      <c r="H22" s="2" t="s">
        <v>41</v>
      </c>
      <c r="I22" s="2" t="s">
        <v>13</v>
      </c>
      <c r="J22">
        <v>26</v>
      </c>
      <c r="K22">
        <f>IF(AND(Banking_Credit_Risk_Dirty[[#This Row],[Borrower_Credit_Score]]&gt;=300,Banking_Credit_Risk_Dirty[[#This Row],[Borrower_Credit_Score]]&lt;=850),Banking_Credit_Risk_Dirty[[#This Row],[Borrower_Credit_Score]],"")</f>
        <v>718</v>
      </c>
    </row>
    <row r="23" spans="1:11" x14ac:dyDescent="0.25">
      <c r="A23" s="2" t="s">
        <v>44</v>
      </c>
      <c r="B23" s="2" t="s">
        <v>21</v>
      </c>
      <c r="C23" s="1">
        <v>45637</v>
      </c>
      <c r="D23">
        <v>87208</v>
      </c>
      <c r="E23">
        <v>659</v>
      </c>
      <c r="F23">
        <v>0.46</v>
      </c>
      <c r="G23">
        <v>0</v>
      </c>
      <c r="H23" s="2" t="s">
        <v>12</v>
      </c>
      <c r="I23" s="2" t="s">
        <v>13</v>
      </c>
      <c r="J23">
        <v>20</v>
      </c>
      <c r="K23">
        <f>IF(AND(Banking_Credit_Risk_Dirty[[#This Row],[Borrower_Credit_Score]]&gt;=300,Banking_Credit_Risk_Dirty[[#This Row],[Borrower_Credit_Score]]&lt;=850),Banking_Credit_Risk_Dirty[[#This Row],[Borrower_Credit_Score]],"")</f>
        <v>659</v>
      </c>
    </row>
    <row r="24" spans="1:11" x14ac:dyDescent="0.25">
      <c r="A24" s="2" t="s">
        <v>45</v>
      </c>
      <c r="B24" s="2" t="s">
        <v>11</v>
      </c>
      <c r="C24" s="1">
        <v>45720</v>
      </c>
      <c r="D24">
        <v>140412</v>
      </c>
      <c r="E24">
        <v>577</v>
      </c>
      <c r="F24">
        <v>0.31</v>
      </c>
      <c r="G24">
        <v>0</v>
      </c>
      <c r="H24" s="2" t="s">
        <v>12</v>
      </c>
      <c r="I24" s="2" t="s">
        <v>17</v>
      </c>
      <c r="J24">
        <v>18</v>
      </c>
      <c r="K24">
        <f>IF(AND(Banking_Credit_Risk_Dirty[[#This Row],[Borrower_Credit_Score]]&gt;=300,Banking_Credit_Risk_Dirty[[#This Row],[Borrower_Credit_Score]]&lt;=850),Banking_Credit_Risk_Dirty[[#This Row],[Borrower_Credit_Score]],"")</f>
        <v>577</v>
      </c>
    </row>
    <row r="25" spans="1:11" x14ac:dyDescent="0.25">
      <c r="A25" s="2" t="s">
        <v>46</v>
      </c>
      <c r="B25" s="2" t="s">
        <v>21</v>
      </c>
      <c r="C25" s="1">
        <v>45442</v>
      </c>
      <c r="D25">
        <v>50791</v>
      </c>
      <c r="E25">
        <v>613</v>
      </c>
      <c r="F25">
        <v>0.25</v>
      </c>
      <c r="G25">
        <v>5</v>
      </c>
      <c r="H25" s="2" t="s">
        <v>27</v>
      </c>
      <c r="I25" s="2" t="s">
        <v>17</v>
      </c>
      <c r="J25">
        <v>27</v>
      </c>
      <c r="K25">
        <f>IF(AND(Banking_Credit_Risk_Dirty[[#This Row],[Borrower_Credit_Score]]&gt;=300,Banking_Credit_Risk_Dirty[[#This Row],[Borrower_Credit_Score]]&lt;=850),Banking_Credit_Risk_Dirty[[#This Row],[Borrower_Credit_Score]],"")</f>
        <v>613</v>
      </c>
    </row>
    <row r="26" spans="1:11" x14ac:dyDescent="0.25">
      <c r="A26" s="2" t="s">
        <v>47</v>
      </c>
      <c r="B26" s="2" t="s">
        <v>11</v>
      </c>
      <c r="C26" s="1">
        <v>45519</v>
      </c>
      <c r="D26">
        <v>22384</v>
      </c>
      <c r="E26">
        <v>806</v>
      </c>
      <c r="F26">
        <v>0.3</v>
      </c>
      <c r="G26">
        <v>0</v>
      </c>
      <c r="H26" s="2" t="s">
        <v>27</v>
      </c>
      <c r="I26" s="2" t="s">
        <v>13</v>
      </c>
      <c r="J26">
        <v>24</v>
      </c>
      <c r="K26">
        <f>IF(AND(Banking_Credit_Risk_Dirty[[#This Row],[Borrower_Credit_Score]]&gt;=300,Banking_Credit_Risk_Dirty[[#This Row],[Borrower_Credit_Score]]&lt;=850),Banking_Credit_Risk_Dirty[[#This Row],[Borrower_Credit_Score]],"")</f>
        <v>806</v>
      </c>
    </row>
    <row r="27" spans="1:11" x14ac:dyDescent="0.25">
      <c r="A27" s="2" t="s">
        <v>48</v>
      </c>
      <c r="B27" s="2" t="s">
        <v>11</v>
      </c>
      <c r="C27" s="1">
        <v>45580</v>
      </c>
      <c r="D27">
        <v>131235</v>
      </c>
      <c r="E27">
        <v>503</v>
      </c>
      <c r="F27">
        <v>0.65</v>
      </c>
      <c r="G27">
        <v>0</v>
      </c>
      <c r="H27" s="2" t="s">
        <v>41</v>
      </c>
      <c r="I27" s="2" t="s">
        <v>13</v>
      </c>
      <c r="J27">
        <v>22</v>
      </c>
      <c r="K27">
        <f>IF(AND(Banking_Credit_Risk_Dirty[[#This Row],[Borrower_Credit_Score]]&gt;=300,Banking_Credit_Risk_Dirty[[#This Row],[Borrower_Credit_Score]]&lt;=850),Banking_Credit_Risk_Dirty[[#This Row],[Borrower_Credit_Score]],"")</f>
        <v>503</v>
      </c>
    </row>
    <row r="28" spans="1:11" x14ac:dyDescent="0.25">
      <c r="A28" s="2" t="s">
        <v>49</v>
      </c>
      <c r="B28" s="2" t="s">
        <v>21</v>
      </c>
      <c r="C28" s="1">
        <v>45907</v>
      </c>
      <c r="D28">
        <v>50739</v>
      </c>
      <c r="E28">
        <v>640</v>
      </c>
      <c r="F28">
        <v>0.3</v>
      </c>
      <c r="G28">
        <v>4</v>
      </c>
      <c r="H28" s="2" t="s">
        <v>12</v>
      </c>
      <c r="I28" s="2" t="s">
        <v>23</v>
      </c>
      <c r="J28">
        <v>12</v>
      </c>
      <c r="K28">
        <f>IF(AND(Banking_Credit_Risk_Dirty[[#This Row],[Borrower_Credit_Score]]&gt;=300,Banking_Credit_Risk_Dirty[[#This Row],[Borrower_Credit_Score]]&lt;=850),Banking_Credit_Risk_Dirty[[#This Row],[Borrower_Credit_Score]],"")</f>
        <v>640</v>
      </c>
    </row>
    <row r="29" spans="1:11" x14ac:dyDescent="0.25">
      <c r="A29" s="2" t="s">
        <v>50</v>
      </c>
      <c r="B29" s="2" t="s">
        <v>43</v>
      </c>
      <c r="C29" s="1">
        <v>45313</v>
      </c>
      <c r="D29">
        <v>60626</v>
      </c>
      <c r="E29">
        <v>509</v>
      </c>
      <c r="F29">
        <v>0.54</v>
      </c>
      <c r="G29">
        <v>0</v>
      </c>
      <c r="H29" s="2" t="s">
        <v>12</v>
      </c>
      <c r="I29" s="2" t="s">
        <v>13</v>
      </c>
      <c r="J29">
        <v>31</v>
      </c>
      <c r="K29">
        <f>IF(AND(Banking_Credit_Risk_Dirty[[#This Row],[Borrower_Credit_Score]]&gt;=300,Banking_Credit_Risk_Dirty[[#This Row],[Borrower_Credit_Score]]&lt;=850),Banking_Credit_Risk_Dirty[[#This Row],[Borrower_Credit_Score]],"")</f>
        <v>509</v>
      </c>
    </row>
    <row r="30" spans="1:11" x14ac:dyDescent="0.25">
      <c r="A30" s="2" t="s">
        <v>51</v>
      </c>
      <c r="B30" s="2" t="s">
        <v>21</v>
      </c>
      <c r="C30" s="1">
        <v>45973</v>
      </c>
      <c r="D30">
        <v>47662</v>
      </c>
      <c r="E30">
        <v>9999</v>
      </c>
      <c r="F30">
        <v>0.42</v>
      </c>
      <c r="G30">
        <v>0</v>
      </c>
      <c r="H30" s="2" t="s">
        <v>41</v>
      </c>
      <c r="I30" s="2" t="s">
        <v>13</v>
      </c>
      <c r="J30">
        <v>9</v>
      </c>
      <c r="K30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31" spans="1:11" x14ac:dyDescent="0.25">
      <c r="A31" s="2" t="s">
        <v>52</v>
      </c>
      <c r="B31" s="2" t="s">
        <v>21</v>
      </c>
      <c r="C31" s="1">
        <v>45640</v>
      </c>
      <c r="D31">
        <v>48470</v>
      </c>
      <c r="E31">
        <v>729</v>
      </c>
      <c r="F31">
        <v>0.45</v>
      </c>
      <c r="G31">
        <v>0</v>
      </c>
      <c r="H31" s="2" t="s">
        <v>19</v>
      </c>
      <c r="I31" s="2" t="s">
        <v>13</v>
      </c>
      <c r="J31">
        <v>20</v>
      </c>
      <c r="K31">
        <f>IF(AND(Banking_Credit_Risk_Dirty[[#This Row],[Borrower_Credit_Score]]&gt;=300,Banking_Credit_Risk_Dirty[[#This Row],[Borrower_Credit_Score]]&lt;=850),Banking_Credit_Risk_Dirty[[#This Row],[Borrower_Credit_Score]],"")</f>
        <v>729</v>
      </c>
    </row>
    <row r="32" spans="1:11" x14ac:dyDescent="0.25">
      <c r="A32" s="2" t="s">
        <v>53</v>
      </c>
      <c r="B32" s="2" t="s">
        <v>21</v>
      </c>
      <c r="C32" s="1">
        <v>45670</v>
      </c>
      <c r="D32">
        <v>68711</v>
      </c>
      <c r="E32">
        <v>774</v>
      </c>
      <c r="F32">
        <v>0.44</v>
      </c>
      <c r="G32">
        <v>0</v>
      </c>
      <c r="H32" s="2" t="s">
        <v>19</v>
      </c>
      <c r="I32" s="2" t="s">
        <v>13</v>
      </c>
      <c r="J32">
        <v>19</v>
      </c>
      <c r="K32">
        <f>IF(AND(Banking_Credit_Risk_Dirty[[#This Row],[Borrower_Credit_Score]]&gt;=300,Banking_Credit_Risk_Dirty[[#This Row],[Borrower_Credit_Score]]&lt;=850),Banking_Credit_Risk_Dirty[[#This Row],[Borrower_Credit_Score]],"")</f>
        <v>774</v>
      </c>
    </row>
    <row r="33" spans="1:11" x14ac:dyDescent="0.25">
      <c r="A33" s="2" t="s">
        <v>54</v>
      </c>
      <c r="B33" s="2" t="s">
        <v>15</v>
      </c>
      <c r="C33" s="1">
        <v>45569</v>
      </c>
      <c r="D33">
        <v>9856</v>
      </c>
      <c r="E33">
        <v>688</v>
      </c>
      <c r="F33">
        <v>0.3</v>
      </c>
      <c r="G33">
        <v>0</v>
      </c>
      <c r="H33" s="2" t="s">
        <v>12</v>
      </c>
      <c r="I33" s="2" t="s">
        <v>13</v>
      </c>
      <c r="J33">
        <v>23</v>
      </c>
      <c r="K33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34" spans="1:11" x14ac:dyDescent="0.25">
      <c r="A34" s="2" t="s">
        <v>55</v>
      </c>
      <c r="B34" s="2" t="s">
        <v>43</v>
      </c>
      <c r="C34" s="1">
        <v>45824</v>
      </c>
      <c r="D34">
        <v>49717</v>
      </c>
      <c r="E34">
        <v>636</v>
      </c>
      <c r="F34">
        <v>0.53</v>
      </c>
      <c r="G34">
        <v>5</v>
      </c>
      <c r="H34" s="2" t="s">
        <v>27</v>
      </c>
      <c r="I34" s="2" t="s">
        <v>17</v>
      </c>
      <c r="J34">
        <v>14</v>
      </c>
      <c r="K34">
        <f>IF(AND(Banking_Credit_Risk_Dirty[[#This Row],[Borrower_Credit_Score]]&gt;=300,Banking_Credit_Risk_Dirty[[#This Row],[Borrower_Credit_Score]]&lt;=850),Banking_Credit_Risk_Dirty[[#This Row],[Borrower_Credit_Score]],"")</f>
        <v>636</v>
      </c>
    </row>
    <row r="35" spans="1:11" x14ac:dyDescent="0.25">
      <c r="A35" s="2" t="s">
        <v>56</v>
      </c>
      <c r="B35" s="2" t="s">
        <v>43</v>
      </c>
      <c r="C35" s="1">
        <v>45624</v>
      </c>
      <c r="D35">
        <v>36758</v>
      </c>
      <c r="E35">
        <v>782</v>
      </c>
      <c r="F35">
        <v>0.56999999999999995</v>
      </c>
      <c r="G35">
        <v>0</v>
      </c>
      <c r="H35" s="2" t="s">
        <v>41</v>
      </c>
      <c r="I35" s="2" t="s">
        <v>13</v>
      </c>
      <c r="J35">
        <v>21</v>
      </c>
      <c r="K35">
        <f>IF(AND(Banking_Credit_Risk_Dirty[[#This Row],[Borrower_Credit_Score]]&gt;=300,Banking_Credit_Risk_Dirty[[#This Row],[Borrower_Credit_Score]]&lt;=850),Banking_Credit_Risk_Dirty[[#This Row],[Borrower_Credit_Score]],"")</f>
        <v>782</v>
      </c>
    </row>
    <row r="36" spans="1:11" x14ac:dyDescent="0.25">
      <c r="A36" s="2" t="s">
        <v>57</v>
      </c>
      <c r="B36" s="2" t="s">
        <v>15</v>
      </c>
      <c r="C36" s="1">
        <v>45554</v>
      </c>
      <c r="D36">
        <v>15423</v>
      </c>
      <c r="E36">
        <v>534</v>
      </c>
      <c r="F36">
        <v>0.26</v>
      </c>
      <c r="G36">
        <v>2</v>
      </c>
      <c r="H36" s="2" t="s">
        <v>19</v>
      </c>
      <c r="I36" s="2" t="s">
        <v>23</v>
      </c>
      <c r="J36">
        <v>23</v>
      </c>
      <c r="K36">
        <f>IF(AND(Banking_Credit_Risk_Dirty[[#This Row],[Borrower_Credit_Score]]&gt;=300,Banking_Credit_Risk_Dirty[[#This Row],[Borrower_Credit_Score]]&lt;=850),Banking_Credit_Risk_Dirty[[#This Row],[Borrower_Credit_Score]],"")</f>
        <v>534</v>
      </c>
    </row>
    <row r="37" spans="1:11" x14ac:dyDescent="0.25">
      <c r="A37" s="2" t="s">
        <v>58</v>
      </c>
      <c r="B37" s="2" t="s">
        <v>15</v>
      </c>
      <c r="C37" s="1">
        <v>45672</v>
      </c>
      <c r="D37">
        <v>63571</v>
      </c>
      <c r="E37">
        <v>770</v>
      </c>
      <c r="F37">
        <v>0.4</v>
      </c>
      <c r="G37">
        <v>0</v>
      </c>
      <c r="H37" s="2" t="s">
        <v>16</v>
      </c>
      <c r="I37" s="2" t="s">
        <v>13</v>
      </c>
      <c r="J37">
        <v>19</v>
      </c>
      <c r="K37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38" spans="1:11" x14ac:dyDescent="0.25">
      <c r="A38" s="2" t="s">
        <v>59</v>
      </c>
      <c r="B38" s="2" t="s">
        <v>43</v>
      </c>
      <c r="C38" s="1">
        <v>45749</v>
      </c>
      <c r="D38">
        <v>75466</v>
      </c>
      <c r="E38">
        <v>740</v>
      </c>
      <c r="F38">
        <v>0.56999999999999995</v>
      </c>
      <c r="G38">
        <v>5</v>
      </c>
      <c r="H38" s="2" t="s">
        <v>12</v>
      </c>
      <c r="I38" s="2" t="s">
        <v>17</v>
      </c>
      <c r="J38">
        <v>17</v>
      </c>
      <c r="K38">
        <f>IF(AND(Banking_Credit_Risk_Dirty[[#This Row],[Borrower_Credit_Score]]&gt;=300,Banking_Credit_Risk_Dirty[[#This Row],[Borrower_Credit_Score]]&lt;=850),Banking_Credit_Risk_Dirty[[#This Row],[Borrower_Credit_Score]],"")</f>
        <v>740</v>
      </c>
    </row>
    <row r="39" spans="1:11" x14ac:dyDescent="0.25">
      <c r="A39" s="2" t="s">
        <v>60</v>
      </c>
      <c r="B39" s="2" t="s">
        <v>43</v>
      </c>
      <c r="C39" s="1">
        <v>45350</v>
      </c>
      <c r="D39">
        <v>133751</v>
      </c>
      <c r="E39">
        <v>788</v>
      </c>
      <c r="F39">
        <v>0.16</v>
      </c>
      <c r="G39">
        <v>0</v>
      </c>
      <c r="H39" s="2" t="s">
        <v>16</v>
      </c>
      <c r="I39" s="2" t="s">
        <v>13</v>
      </c>
      <c r="J39">
        <v>30</v>
      </c>
      <c r="K39">
        <f>IF(AND(Banking_Credit_Risk_Dirty[[#This Row],[Borrower_Credit_Score]]&gt;=300,Banking_Credit_Risk_Dirty[[#This Row],[Borrower_Credit_Score]]&lt;=850),Banking_Credit_Risk_Dirty[[#This Row],[Borrower_Credit_Score]],"")</f>
        <v>788</v>
      </c>
    </row>
    <row r="40" spans="1:11" x14ac:dyDescent="0.25">
      <c r="A40" s="2" t="s">
        <v>61</v>
      </c>
      <c r="B40" s="2" t="s">
        <v>15</v>
      </c>
      <c r="C40" s="1">
        <v>45541</v>
      </c>
      <c r="D40">
        <v>122194</v>
      </c>
      <c r="E40">
        <v>588</v>
      </c>
      <c r="F40">
        <v>0.27</v>
      </c>
      <c r="G40">
        <v>0</v>
      </c>
      <c r="H40" s="2" t="s">
        <v>12</v>
      </c>
      <c r="I40" s="2" t="s">
        <v>13</v>
      </c>
      <c r="J40">
        <v>24</v>
      </c>
      <c r="K40">
        <f>IF(AND(Banking_Credit_Risk_Dirty[[#This Row],[Borrower_Credit_Score]]&gt;=300,Banking_Credit_Risk_Dirty[[#This Row],[Borrower_Credit_Score]]&lt;=850),Banking_Credit_Risk_Dirty[[#This Row],[Borrower_Credit_Score]],"")</f>
        <v>588</v>
      </c>
    </row>
    <row r="41" spans="1:11" x14ac:dyDescent="0.25">
      <c r="A41" s="2" t="s">
        <v>62</v>
      </c>
      <c r="B41" s="2" t="s">
        <v>15</v>
      </c>
      <c r="C41" s="1">
        <v>45979</v>
      </c>
      <c r="D41">
        <v>124606</v>
      </c>
      <c r="E41">
        <v>690</v>
      </c>
      <c r="F41">
        <v>0.33</v>
      </c>
      <c r="G41">
        <v>0</v>
      </c>
      <c r="H41" s="2" t="s">
        <v>22</v>
      </c>
      <c r="I41" s="2" t="s">
        <v>13</v>
      </c>
      <c r="J41">
        <v>9</v>
      </c>
      <c r="K41">
        <f>IF(AND(Banking_Credit_Risk_Dirty[[#This Row],[Borrower_Credit_Score]]&gt;=300,Banking_Credit_Risk_Dirty[[#This Row],[Borrower_Credit_Score]]&lt;=850),Banking_Credit_Risk_Dirty[[#This Row],[Borrower_Credit_Score]],"")</f>
        <v>690</v>
      </c>
    </row>
    <row r="42" spans="1:11" x14ac:dyDescent="0.25">
      <c r="A42" s="2" t="s">
        <v>63</v>
      </c>
      <c r="B42" s="2" t="s">
        <v>21</v>
      </c>
      <c r="C42" s="1">
        <v>45729</v>
      </c>
      <c r="D42">
        <v>74474</v>
      </c>
      <c r="E42">
        <v>613</v>
      </c>
      <c r="F42">
        <v>0.6</v>
      </c>
      <c r="G42">
        <v>5</v>
      </c>
      <c r="H42" s="2" t="s">
        <v>12</v>
      </c>
      <c r="I42" s="2" t="s">
        <v>23</v>
      </c>
      <c r="J42">
        <v>17</v>
      </c>
      <c r="K42">
        <f>IF(AND(Banking_Credit_Risk_Dirty[[#This Row],[Borrower_Credit_Score]]&gt;=300,Banking_Credit_Risk_Dirty[[#This Row],[Borrower_Credit_Score]]&lt;=850),Banking_Credit_Risk_Dirty[[#This Row],[Borrower_Credit_Score]],"")</f>
        <v>613</v>
      </c>
    </row>
    <row r="43" spans="1:11" x14ac:dyDescent="0.25">
      <c r="A43" s="2" t="s">
        <v>64</v>
      </c>
      <c r="B43" s="2" t="s">
        <v>11</v>
      </c>
      <c r="C43" s="1">
        <v>45526</v>
      </c>
      <c r="D43">
        <v>5979</v>
      </c>
      <c r="E43">
        <v>535</v>
      </c>
      <c r="F43">
        <v>0.41</v>
      </c>
      <c r="G43">
        <v>0</v>
      </c>
      <c r="H43" s="2" t="s">
        <v>16</v>
      </c>
      <c r="I43" s="2" t="s">
        <v>13</v>
      </c>
      <c r="J43">
        <v>24</v>
      </c>
      <c r="K43">
        <f>IF(AND(Banking_Credit_Risk_Dirty[[#This Row],[Borrower_Credit_Score]]&gt;=300,Banking_Credit_Risk_Dirty[[#This Row],[Borrower_Credit_Score]]&lt;=850),Banking_Credit_Risk_Dirty[[#This Row],[Borrower_Credit_Score]],"")</f>
        <v>535</v>
      </c>
    </row>
    <row r="44" spans="1:11" x14ac:dyDescent="0.25">
      <c r="A44" s="2" t="s">
        <v>65</v>
      </c>
      <c r="B44" s="2" t="s">
        <v>21</v>
      </c>
      <c r="C44" s="1">
        <v>45512</v>
      </c>
      <c r="D44">
        <v>126170</v>
      </c>
      <c r="E44">
        <v>734</v>
      </c>
      <c r="F44">
        <v>0.28999999999999998</v>
      </c>
      <c r="G44">
        <v>0</v>
      </c>
      <c r="H44" s="2" t="s">
        <v>16</v>
      </c>
      <c r="I44" s="2" t="s">
        <v>13</v>
      </c>
      <c r="J44">
        <v>25</v>
      </c>
      <c r="K44">
        <f>IF(AND(Banking_Credit_Risk_Dirty[[#This Row],[Borrower_Credit_Score]]&gt;=300,Banking_Credit_Risk_Dirty[[#This Row],[Borrower_Credit_Score]]&lt;=850),Banking_Credit_Risk_Dirty[[#This Row],[Borrower_Credit_Score]],"")</f>
        <v>734</v>
      </c>
    </row>
    <row r="45" spans="1:11" x14ac:dyDescent="0.25">
      <c r="A45" s="2" t="s">
        <v>66</v>
      </c>
      <c r="B45" s="2" t="s">
        <v>11</v>
      </c>
      <c r="C45" s="1">
        <v>45339</v>
      </c>
      <c r="D45">
        <v>52034</v>
      </c>
      <c r="E45">
        <v>673</v>
      </c>
      <c r="F45">
        <v>0.21</v>
      </c>
      <c r="G45">
        <v>5</v>
      </c>
      <c r="H45" s="2" t="s">
        <v>41</v>
      </c>
      <c r="I45" s="2" t="s">
        <v>23</v>
      </c>
      <c r="J45">
        <v>30</v>
      </c>
      <c r="K45">
        <f>IF(AND(Banking_Credit_Risk_Dirty[[#This Row],[Borrower_Credit_Score]]&gt;=300,Banking_Credit_Risk_Dirty[[#This Row],[Borrower_Credit_Score]]&lt;=850),Banking_Credit_Risk_Dirty[[#This Row],[Borrower_Credit_Score]],"")</f>
        <v>673</v>
      </c>
    </row>
    <row r="46" spans="1:11" x14ac:dyDescent="0.25">
      <c r="A46" s="2" t="s">
        <v>67</v>
      </c>
      <c r="B46" s="2" t="s">
        <v>21</v>
      </c>
      <c r="C46" s="1">
        <v>45694</v>
      </c>
      <c r="D46">
        <v>115284</v>
      </c>
      <c r="E46">
        <v>755</v>
      </c>
      <c r="F46">
        <v>0.61</v>
      </c>
      <c r="G46">
        <v>0</v>
      </c>
      <c r="H46" s="2" t="s">
        <v>12</v>
      </c>
      <c r="I46" s="2" t="s">
        <v>13</v>
      </c>
      <c r="J46">
        <v>19</v>
      </c>
      <c r="K46">
        <f>IF(AND(Banking_Credit_Risk_Dirty[[#This Row],[Borrower_Credit_Score]]&gt;=300,Banking_Credit_Risk_Dirty[[#This Row],[Borrower_Credit_Score]]&lt;=850),Banking_Credit_Risk_Dirty[[#This Row],[Borrower_Credit_Score]],"")</f>
        <v>755</v>
      </c>
    </row>
    <row r="47" spans="1:11" x14ac:dyDescent="0.25">
      <c r="A47" s="2" t="s">
        <v>68</v>
      </c>
      <c r="B47" s="2" t="s">
        <v>43</v>
      </c>
      <c r="C47" s="1">
        <v>45697</v>
      </c>
      <c r="D47">
        <v>9872</v>
      </c>
      <c r="E47">
        <v>785</v>
      </c>
      <c r="F47">
        <v>0.34</v>
      </c>
      <c r="G47">
        <v>0</v>
      </c>
      <c r="H47" s="2" t="s">
        <v>12</v>
      </c>
      <c r="I47" s="2" t="s">
        <v>13</v>
      </c>
      <c r="J47">
        <v>19</v>
      </c>
      <c r="K47">
        <f>IF(AND(Banking_Credit_Risk_Dirty[[#This Row],[Borrower_Credit_Score]]&gt;=300,Banking_Credit_Risk_Dirty[[#This Row],[Borrower_Credit_Score]]&lt;=850),Banking_Credit_Risk_Dirty[[#This Row],[Borrower_Credit_Score]],"")</f>
        <v>785</v>
      </c>
    </row>
    <row r="48" spans="1:11" x14ac:dyDescent="0.25">
      <c r="A48" s="2" t="s">
        <v>69</v>
      </c>
      <c r="B48" s="2" t="s">
        <v>21</v>
      </c>
      <c r="C48" s="1">
        <v>45662</v>
      </c>
      <c r="D48">
        <v>42312</v>
      </c>
      <c r="E48">
        <v>0</v>
      </c>
      <c r="F48">
        <v>0.16</v>
      </c>
      <c r="G48">
        <v>0</v>
      </c>
      <c r="H48" s="2" t="s">
        <v>41</v>
      </c>
      <c r="I48" s="2" t="s">
        <v>13</v>
      </c>
      <c r="J48">
        <v>20</v>
      </c>
      <c r="K48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49" spans="1:11" x14ac:dyDescent="0.25">
      <c r="A49" s="2" t="s">
        <v>70</v>
      </c>
      <c r="B49" s="2" t="s">
        <v>21</v>
      </c>
      <c r="C49" s="1">
        <v>45460</v>
      </c>
      <c r="D49">
        <v>32140</v>
      </c>
      <c r="E49">
        <v>454</v>
      </c>
      <c r="F49">
        <v>0.21</v>
      </c>
      <c r="G49">
        <v>0</v>
      </c>
      <c r="H49" s="2" t="s">
        <v>19</v>
      </c>
      <c r="I49" s="2" t="s">
        <v>13</v>
      </c>
      <c r="J49">
        <v>26</v>
      </c>
      <c r="K49">
        <f>IF(AND(Banking_Credit_Risk_Dirty[[#This Row],[Borrower_Credit_Score]]&gt;=300,Banking_Credit_Risk_Dirty[[#This Row],[Borrower_Credit_Score]]&lt;=850),Banking_Credit_Risk_Dirty[[#This Row],[Borrower_Credit_Score]],"")</f>
        <v>454</v>
      </c>
    </row>
    <row r="50" spans="1:11" x14ac:dyDescent="0.25">
      <c r="A50" s="2" t="s">
        <v>71</v>
      </c>
      <c r="B50" s="2" t="s">
        <v>43</v>
      </c>
      <c r="C50" s="1">
        <v>45320</v>
      </c>
      <c r="D50">
        <v>116865</v>
      </c>
      <c r="E50">
        <v>652</v>
      </c>
      <c r="F50">
        <v>0.22</v>
      </c>
      <c r="G50">
        <v>0</v>
      </c>
      <c r="H50" s="2" t="s">
        <v>12</v>
      </c>
      <c r="I50" s="2" t="s">
        <v>13</v>
      </c>
      <c r="J50">
        <v>31</v>
      </c>
      <c r="K50">
        <f>IF(AND(Banking_Credit_Risk_Dirty[[#This Row],[Borrower_Credit_Score]]&gt;=300,Banking_Credit_Risk_Dirty[[#This Row],[Borrower_Credit_Score]]&lt;=850),Banking_Credit_Risk_Dirty[[#This Row],[Borrower_Credit_Score]],"")</f>
        <v>652</v>
      </c>
    </row>
    <row r="51" spans="1:11" x14ac:dyDescent="0.25">
      <c r="A51" s="2" t="s">
        <v>72</v>
      </c>
      <c r="B51" s="2" t="s">
        <v>11</v>
      </c>
      <c r="C51" s="1">
        <v>45651</v>
      </c>
      <c r="D51">
        <v>95661</v>
      </c>
      <c r="E51">
        <v>723</v>
      </c>
      <c r="F51">
        <v>0.3</v>
      </c>
      <c r="G51">
        <v>0</v>
      </c>
      <c r="H51" s="2" t="s">
        <v>19</v>
      </c>
      <c r="I51" s="2" t="s">
        <v>17</v>
      </c>
      <c r="J51">
        <v>20</v>
      </c>
      <c r="K51">
        <f>IF(AND(Banking_Credit_Risk_Dirty[[#This Row],[Borrower_Credit_Score]]&gt;=300,Banking_Credit_Risk_Dirty[[#This Row],[Borrower_Credit_Score]]&lt;=850),Banking_Credit_Risk_Dirty[[#This Row],[Borrower_Credit_Score]],"")</f>
        <v>723</v>
      </c>
    </row>
    <row r="52" spans="1:11" x14ac:dyDescent="0.25">
      <c r="A52" s="2" t="s">
        <v>73</v>
      </c>
      <c r="B52" s="2" t="s">
        <v>21</v>
      </c>
      <c r="C52" s="1">
        <v>45300</v>
      </c>
      <c r="D52">
        <v>128447</v>
      </c>
      <c r="E52">
        <v>9999</v>
      </c>
      <c r="F52">
        <v>0.52</v>
      </c>
      <c r="G52">
        <v>0</v>
      </c>
      <c r="H52" s="2" t="s">
        <v>22</v>
      </c>
      <c r="I52" s="2" t="s">
        <v>13</v>
      </c>
      <c r="J52">
        <v>32</v>
      </c>
      <c r="K52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53" spans="1:11" x14ac:dyDescent="0.25">
      <c r="A53" s="2" t="s">
        <v>74</v>
      </c>
      <c r="B53" s="2" t="s">
        <v>11</v>
      </c>
      <c r="C53" s="1">
        <v>45516</v>
      </c>
      <c r="D53">
        <v>106848</v>
      </c>
      <c r="E53">
        <v>498</v>
      </c>
      <c r="F53">
        <v>0.45</v>
      </c>
      <c r="G53">
        <v>0</v>
      </c>
      <c r="H53" s="2" t="s">
        <v>27</v>
      </c>
      <c r="I53" s="2" t="s">
        <v>13</v>
      </c>
      <c r="J53">
        <v>24</v>
      </c>
      <c r="K53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54" spans="1:11" x14ac:dyDescent="0.25">
      <c r="A54" s="2" t="s">
        <v>75</v>
      </c>
      <c r="B54" s="2" t="s">
        <v>15</v>
      </c>
      <c r="C54" s="1">
        <v>45980</v>
      </c>
      <c r="D54">
        <v>132832</v>
      </c>
      <c r="E54">
        <v>736</v>
      </c>
      <c r="F54">
        <v>0.42</v>
      </c>
      <c r="G54">
        <v>0</v>
      </c>
      <c r="H54" s="2" t="s">
        <v>16</v>
      </c>
      <c r="I54" s="2" t="s">
        <v>17</v>
      </c>
      <c r="J54">
        <v>9</v>
      </c>
      <c r="K54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55" spans="1:11" x14ac:dyDescent="0.25">
      <c r="A55" s="2" t="s">
        <v>76</v>
      </c>
      <c r="B55" s="2" t="s">
        <v>21</v>
      </c>
      <c r="C55" s="1">
        <v>45737</v>
      </c>
      <c r="D55">
        <v>123419</v>
      </c>
      <c r="E55">
        <v>806</v>
      </c>
      <c r="F55">
        <v>0.52</v>
      </c>
      <c r="G55">
        <v>0</v>
      </c>
      <c r="H55" s="2" t="s">
        <v>12</v>
      </c>
      <c r="I55" s="2" t="s">
        <v>13</v>
      </c>
      <c r="J55">
        <v>17</v>
      </c>
      <c r="K55">
        <f>IF(AND(Banking_Credit_Risk_Dirty[[#This Row],[Borrower_Credit_Score]]&gt;=300,Banking_Credit_Risk_Dirty[[#This Row],[Borrower_Credit_Score]]&lt;=850),Banking_Credit_Risk_Dirty[[#This Row],[Borrower_Credit_Score]],"")</f>
        <v>806</v>
      </c>
    </row>
    <row r="56" spans="1:11" x14ac:dyDescent="0.25">
      <c r="A56" s="2" t="s">
        <v>77</v>
      </c>
      <c r="B56" s="2" t="s">
        <v>11</v>
      </c>
      <c r="C56" s="1">
        <v>45360</v>
      </c>
      <c r="D56">
        <v>81702</v>
      </c>
      <c r="E56">
        <v>828</v>
      </c>
      <c r="F56">
        <v>0.38</v>
      </c>
      <c r="G56">
        <v>0</v>
      </c>
      <c r="H56" s="2" t="s">
        <v>12</v>
      </c>
      <c r="I56" s="2" t="s">
        <v>13</v>
      </c>
      <c r="J56">
        <v>30</v>
      </c>
      <c r="K56">
        <f>IF(AND(Banking_Credit_Risk_Dirty[[#This Row],[Borrower_Credit_Score]]&gt;=300,Banking_Credit_Risk_Dirty[[#This Row],[Borrower_Credit_Score]]&lt;=850),Banking_Credit_Risk_Dirty[[#This Row],[Borrower_Credit_Score]],"")</f>
        <v>828</v>
      </c>
    </row>
    <row r="57" spans="1:11" x14ac:dyDescent="0.25">
      <c r="A57" s="2" t="s">
        <v>78</v>
      </c>
      <c r="B57" s="2" t="s">
        <v>21</v>
      </c>
      <c r="C57" s="1">
        <v>45838</v>
      </c>
      <c r="D57">
        <v>14123</v>
      </c>
      <c r="E57">
        <v>706</v>
      </c>
      <c r="F57">
        <v>0.41</v>
      </c>
      <c r="G57">
        <v>0</v>
      </c>
      <c r="H57" s="2" t="s">
        <v>12</v>
      </c>
      <c r="I57" s="2" t="s">
        <v>13</v>
      </c>
      <c r="J57">
        <v>14</v>
      </c>
      <c r="K57">
        <f>IF(AND(Banking_Credit_Risk_Dirty[[#This Row],[Borrower_Credit_Score]]&gt;=300,Banking_Credit_Risk_Dirty[[#This Row],[Borrower_Credit_Score]]&lt;=850),Banking_Credit_Risk_Dirty[[#This Row],[Borrower_Credit_Score]],"")</f>
        <v>706</v>
      </c>
    </row>
    <row r="58" spans="1:11" x14ac:dyDescent="0.25">
      <c r="A58" s="2" t="s">
        <v>79</v>
      </c>
      <c r="B58" s="2" t="s">
        <v>11</v>
      </c>
      <c r="C58" s="1">
        <v>45293</v>
      </c>
      <c r="D58">
        <v>36365</v>
      </c>
      <c r="E58">
        <v>846</v>
      </c>
      <c r="F58">
        <v>0.2</v>
      </c>
      <c r="G58">
        <v>0</v>
      </c>
      <c r="H58" s="2" t="s">
        <v>22</v>
      </c>
      <c r="I58" s="2" t="s">
        <v>13</v>
      </c>
      <c r="J58">
        <v>32</v>
      </c>
      <c r="K58">
        <f>IF(AND(Banking_Credit_Risk_Dirty[[#This Row],[Borrower_Credit_Score]]&gt;=300,Banking_Credit_Risk_Dirty[[#This Row],[Borrower_Credit_Score]]&lt;=850),Banking_Credit_Risk_Dirty[[#This Row],[Borrower_Credit_Score]],"")</f>
        <v>846</v>
      </c>
    </row>
    <row r="59" spans="1:11" x14ac:dyDescent="0.25">
      <c r="A59" s="2" t="s">
        <v>80</v>
      </c>
      <c r="B59" s="2" t="s">
        <v>43</v>
      </c>
      <c r="C59" s="1">
        <v>45519</v>
      </c>
      <c r="D59">
        <v>89248</v>
      </c>
      <c r="E59">
        <v>549</v>
      </c>
      <c r="F59">
        <v>0.28000000000000003</v>
      </c>
      <c r="G59">
        <v>3</v>
      </c>
      <c r="H59" s="2" t="s">
        <v>22</v>
      </c>
      <c r="I59" s="2" t="s">
        <v>17</v>
      </c>
      <c r="J59">
        <v>24</v>
      </c>
      <c r="K59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60" spans="1:11" x14ac:dyDescent="0.25">
      <c r="A60" s="2" t="s">
        <v>81</v>
      </c>
      <c r="B60" s="2" t="s">
        <v>15</v>
      </c>
      <c r="C60" s="1">
        <v>45857</v>
      </c>
      <c r="D60">
        <v>69071</v>
      </c>
      <c r="E60">
        <v>836</v>
      </c>
      <c r="F60">
        <v>0.37</v>
      </c>
      <c r="G60">
        <v>1</v>
      </c>
      <c r="H60" s="2" t="s">
        <v>27</v>
      </c>
      <c r="I60" s="2" t="s">
        <v>17</v>
      </c>
      <c r="J60">
        <v>13</v>
      </c>
      <c r="K60">
        <f>IF(AND(Banking_Credit_Risk_Dirty[[#This Row],[Borrower_Credit_Score]]&gt;=300,Banking_Credit_Risk_Dirty[[#This Row],[Borrower_Credit_Score]]&lt;=850),Banking_Credit_Risk_Dirty[[#This Row],[Borrower_Credit_Score]],"")</f>
        <v>836</v>
      </c>
    </row>
    <row r="61" spans="1:11" x14ac:dyDescent="0.25">
      <c r="A61" s="2" t="s">
        <v>82</v>
      </c>
      <c r="B61" s="2" t="s">
        <v>21</v>
      </c>
      <c r="C61" s="1">
        <v>45781</v>
      </c>
      <c r="D61">
        <v>53358</v>
      </c>
      <c r="E61">
        <v>809</v>
      </c>
      <c r="F61">
        <v>0.45</v>
      </c>
      <c r="G61">
        <v>0</v>
      </c>
      <c r="H61" s="2" t="s">
        <v>27</v>
      </c>
      <c r="I61" s="2" t="s">
        <v>13</v>
      </c>
      <c r="J61">
        <v>16</v>
      </c>
      <c r="K61">
        <f>IF(AND(Banking_Credit_Risk_Dirty[[#This Row],[Borrower_Credit_Score]]&gt;=300,Banking_Credit_Risk_Dirty[[#This Row],[Borrower_Credit_Score]]&lt;=850),Banking_Credit_Risk_Dirty[[#This Row],[Borrower_Credit_Score]],"")</f>
        <v>809</v>
      </c>
    </row>
    <row r="62" spans="1:11" x14ac:dyDescent="0.25">
      <c r="A62" s="2" t="s">
        <v>83</v>
      </c>
      <c r="B62" s="2" t="s">
        <v>15</v>
      </c>
      <c r="C62" s="1">
        <v>45593</v>
      </c>
      <c r="D62">
        <v>36821</v>
      </c>
      <c r="E62">
        <v>704</v>
      </c>
      <c r="F62">
        <v>0.38</v>
      </c>
      <c r="G62">
        <v>2</v>
      </c>
      <c r="H62" s="2" t="s">
        <v>19</v>
      </c>
      <c r="I62" s="2" t="s">
        <v>17</v>
      </c>
      <c r="J62">
        <v>22</v>
      </c>
      <c r="K62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63" spans="1:11" x14ac:dyDescent="0.25">
      <c r="A63" s="2" t="s">
        <v>84</v>
      </c>
      <c r="B63" s="2" t="s">
        <v>21</v>
      </c>
      <c r="C63" s="1">
        <v>45860</v>
      </c>
      <c r="D63">
        <v>132397</v>
      </c>
      <c r="E63">
        <v>731</v>
      </c>
      <c r="F63">
        <v>0.35</v>
      </c>
      <c r="G63">
        <v>2</v>
      </c>
      <c r="H63" s="2" t="s">
        <v>22</v>
      </c>
      <c r="I63" s="2" t="s">
        <v>23</v>
      </c>
      <c r="J63">
        <v>13</v>
      </c>
      <c r="K63">
        <f>IF(AND(Banking_Credit_Risk_Dirty[[#This Row],[Borrower_Credit_Score]]&gt;=300,Banking_Credit_Risk_Dirty[[#This Row],[Borrower_Credit_Score]]&lt;=850),Banking_Credit_Risk_Dirty[[#This Row],[Borrower_Credit_Score]],"")</f>
        <v>731</v>
      </c>
    </row>
    <row r="64" spans="1:11" x14ac:dyDescent="0.25">
      <c r="A64" s="2" t="s">
        <v>85</v>
      </c>
      <c r="B64" s="2" t="s">
        <v>21</v>
      </c>
      <c r="C64" s="1">
        <v>45412</v>
      </c>
      <c r="D64">
        <v>97928</v>
      </c>
      <c r="E64">
        <v>685</v>
      </c>
      <c r="F64">
        <v>0.26</v>
      </c>
      <c r="G64">
        <v>0</v>
      </c>
      <c r="H64" s="2" t="s">
        <v>12</v>
      </c>
      <c r="I64" s="2" t="s">
        <v>13</v>
      </c>
      <c r="J64">
        <v>28</v>
      </c>
      <c r="K64">
        <f>IF(AND(Banking_Credit_Risk_Dirty[[#This Row],[Borrower_Credit_Score]]&gt;=300,Banking_Credit_Risk_Dirty[[#This Row],[Borrower_Credit_Score]]&lt;=850),Banking_Credit_Risk_Dirty[[#This Row],[Borrower_Credit_Score]],"")</f>
        <v>685</v>
      </c>
    </row>
    <row r="65" spans="1:11" x14ac:dyDescent="0.25">
      <c r="A65" s="2" t="s">
        <v>86</v>
      </c>
      <c r="B65" s="2" t="s">
        <v>15</v>
      </c>
      <c r="C65" s="1">
        <v>45748</v>
      </c>
      <c r="D65">
        <v>64053</v>
      </c>
      <c r="E65">
        <v>707</v>
      </c>
      <c r="F65">
        <v>0.38</v>
      </c>
      <c r="G65">
        <v>0</v>
      </c>
      <c r="H65" s="2" t="s">
        <v>12</v>
      </c>
      <c r="I65" s="2" t="s">
        <v>13</v>
      </c>
      <c r="J65">
        <v>17</v>
      </c>
      <c r="K65">
        <f>IF(AND(Banking_Credit_Risk_Dirty[[#This Row],[Borrower_Credit_Score]]&gt;=300,Banking_Credit_Risk_Dirty[[#This Row],[Borrower_Credit_Score]]&lt;=850),Banking_Credit_Risk_Dirty[[#This Row],[Borrower_Credit_Score]],"")</f>
        <v>707</v>
      </c>
    </row>
    <row r="66" spans="1:11" x14ac:dyDescent="0.25">
      <c r="A66" s="2" t="s">
        <v>87</v>
      </c>
      <c r="B66" s="2" t="s">
        <v>21</v>
      </c>
      <c r="C66" s="1">
        <v>45882</v>
      </c>
      <c r="D66">
        <v>146742</v>
      </c>
      <c r="E66">
        <v>757</v>
      </c>
      <c r="F66">
        <v>0.34</v>
      </c>
      <c r="G66">
        <v>5</v>
      </c>
      <c r="H66" s="2" t="s">
        <v>12</v>
      </c>
      <c r="I66" s="2" t="s">
        <v>17</v>
      </c>
      <c r="J66">
        <v>12</v>
      </c>
      <c r="K66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67" spans="1:11" x14ac:dyDescent="0.25">
      <c r="A67" s="2" t="s">
        <v>88</v>
      </c>
      <c r="B67" s="2" t="s">
        <v>21</v>
      </c>
      <c r="C67" s="1">
        <v>45745</v>
      </c>
      <c r="D67">
        <v>93892</v>
      </c>
      <c r="E67">
        <v>486</v>
      </c>
      <c r="F67">
        <v>0.51</v>
      </c>
      <c r="G67">
        <v>6</v>
      </c>
      <c r="H67" s="2" t="s">
        <v>16</v>
      </c>
      <c r="I67" s="2" t="s">
        <v>89</v>
      </c>
      <c r="J67">
        <v>17</v>
      </c>
      <c r="K67">
        <f>IF(AND(Banking_Credit_Risk_Dirty[[#This Row],[Borrower_Credit_Score]]&gt;=300,Banking_Credit_Risk_Dirty[[#This Row],[Borrower_Credit_Score]]&lt;=850),Banking_Credit_Risk_Dirty[[#This Row],[Borrower_Credit_Score]],"")</f>
        <v>486</v>
      </c>
    </row>
    <row r="68" spans="1:11" x14ac:dyDescent="0.25">
      <c r="A68" s="2" t="s">
        <v>90</v>
      </c>
      <c r="B68" s="2" t="s">
        <v>15</v>
      </c>
      <c r="C68" s="1">
        <v>45340</v>
      </c>
      <c r="D68">
        <v>84279</v>
      </c>
      <c r="E68">
        <v>568</v>
      </c>
      <c r="F68">
        <v>0.56999999999999995</v>
      </c>
      <c r="G68">
        <v>5</v>
      </c>
      <c r="H68" s="2" t="s">
        <v>19</v>
      </c>
      <c r="I68" s="2" t="s">
        <v>89</v>
      </c>
      <c r="J68">
        <v>30</v>
      </c>
      <c r="K68">
        <f>IF(AND(Banking_Credit_Risk_Dirty[[#This Row],[Borrower_Credit_Score]]&gt;=300,Banking_Credit_Risk_Dirty[[#This Row],[Borrower_Credit_Score]]&lt;=850),Banking_Credit_Risk_Dirty[[#This Row],[Borrower_Credit_Score]],"")</f>
        <v>568</v>
      </c>
    </row>
    <row r="69" spans="1:11" x14ac:dyDescent="0.25">
      <c r="A69" s="2" t="s">
        <v>91</v>
      </c>
      <c r="B69" s="2" t="s">
        <v>21</v>
      </c>
      <c r="C69" s="1">
        <v>45299</v>
      </c>
      <c r="D69">
        <v>30845</v>
      </c>
      <c r="E69">
        <v>759</v>
      </c>
      <c r="F69">
        <v>0.6</v>
      </c>
      <c r="G69">
        <v>0</v>
      </c>
      <c r="H69" s="2" t="s">
        <v>12</v>
      </c>
      <c r="I69" s="2" t="s">
        <v>13</v>
      </c>
      <c r="J69">
        <v>32</v>
      </c>
      <c r="K69">
        <f>IF(AND(Banking_Credit_Risk_Dirty[[#This Row],[Borrower_Credit_Score]]&gt;=300,Banking_Credit_Risk_Dirty[[#This Row],[Borrower_Credit_Score]]&lt;=850),Banking_Credit_Risk_Dirty[[#This Row],[Borrower_Credit_Score]],"")</f>
        <v>759</v>
      </c>
    </row>
    <row r="70" spans="1:11" x14ac:dyDescent="0.25">
      <c r="A70" s="2" t="s">
        <v>92</v>
      </c>
      <c r="B70" s="2" t="s">
        <v>21</v>
      </c>
      <c r="C70" s="1">
        <v>45818</v>
      </c>
      <c r="D70">
        <v>53038</v>
      </c>
      <c r="E70">
        <v>461</v>
      </c>
      <c r="F70">
        <v>0.22</v>
      </c>
      <c r="G70">
        <v>0</v>
      </c>
      <c r="H70" s="2" t="s">
        <v>41</v>
      </c>
      <c r="I70" s="2" t="s">
        <v>13</v>
      </c>
      <c r="J70">
        <v>14</v>
      </c>
      <c r="K70">
        <f>IF(AND(Banking_Credit_Risk_Dirty[[#This Row],[Borrower_Credit_Score]]&gt;=300,Banking_Credit_Risk_Dirty[[#This Row],[Borrower_Credit_Score]]&lt;=850),Banking_Credit_Risk_Dirty[[#This Row],[Borrower_Credit_Score]],"")</f>
        <v>461</v>
      </c>
    </row>
    <row r="71" spans="1:11" x14ac:dyDescent="0.25">
      <c r="A71" s="2" t="s">
        <v>93</v>
      </c>
      <c r="B71" s="2" t="s">
        <v>21</v>
      </c>
      <c r="C71" s="1">
        <v>45454</v>
      </c>
      <c r="D71">
        <v>94632</v>
      </c>
      <c r="E71">
        <v>587</v>
      </c>
      <c r="F71">
        <v>0.55000000000000004</v>
      </c>
      <c r="G71">
        <v>0</v>
      </c>
      <c r="H71" s="2" t="s">
        <v>19</v>
      </c>
      <c r="I71" s="2" t="s">
        <v>13</v>
      </c>
      <c r="J71">
        <v>26</v>
      </c>
      <c r="K71">
        <f>IF(AND(Banking_Credit_Risk_Dirty[[#This Row],[Borrower_Credit_Score]]&gt;=300,Banking_Credit_Risk_Dirty[[#This Row],[Borrower_Credit_Score]]&lt;=850),Banking_Credit_Risk_Dirty[[#This Row],[Borrower_Credit_Score]],"")</f>
        <v>587</v>
      </c>
    </row>
    <row r="72" spans="1:11" x14ac:dyDescent="0.25">
      <c r="A72" s="2" t="s">
        <v>94</v>
      </c>
      <c r="B72" s="2" t="s">
        <v>15</v>
      </c>
      <c r="C72" s="1">
        <v>45568</v>
      </c>
      <c r="D72">
        <v>23416</v>
      </c>
      <c r="E72">
        <v>469</v>
      </c>
      <c r="F72">
        <v>0.28999999999999998</v>
      </c>
      <c r="G72">
        <v>0</v>
      </c>
      <c r="H72" s="2" t="s">
        <v>12</v>
      </c>
      <c r="I72" s="2" t="s">
        <v>13</v>
      </c>
      <c r="J72">
        <v>23</v>
      </c>
      <c r="K72">
        <f>IF(AND(Banking_Credit_Risk_Dirty[[#This Row],[Borrower_Credit_Score]]&gt;=300,Banking_Credit_Risk_Dirty[[#This Row],[Borrower_Credit_Score]]&lt;=850),Banking_Credit_Risk_Dirty[[#This Row],[Borrower_Credit_Score]],"")</f>
        <v>469</v>
      </c>
    </row>
    <row r="73" spans="1:11" x14ac:dyDescent="0.25">
      <c r="A73" s="2" t="s">
        <v>95</v>
      </c>
      <c r="B73" s="2" t="s">
        <v>21</v>
      </c>
      <c r="C73" s="1">
        <v>45806</v>
      </c>
      <c r="D73">
        <v>100904</v>
      </c>
      <c r="E73">
        <v>476</v>
      </c>
      <c r="F73">
        <v>0.52</v>
      </c>
      <c r="G73">
        <v>5</v>
      </c>
      <c r="H73" s="2" t="s">
        <v>41</v>
      </c>
      <c r="I73" s="2" t="s">
        <v>89</v>
      </c>
      <c r="J73">
        <v>15</v>
      </c>
      <c r="K73">
        <f>IF(AND(Banking_Credit_Risk_Dirty[[#This Row],[Borrower_Credit_Score]]&gt;=300,Banking_Credit_Risk_Dirty[[#This Row],[Borrower_Credit_Score]]&lt;=850),Banking_Credit_Risk_Dirty[[#This Row],[Borrower_Credit_Score]],"")</f>
        <v>476</v>
      </c>
    </row>
    <row r="74" spans="1:11" x14ac:dyDescent="0.25">
      <c r="A74" s="2" t="s">
        <v>96</v>
      </c>
      <c r="B74" s="2" t="s">
        <v>11</v>
      </c>
      <c r="C74" s="1">
        <v>45850</v>
      </c>
      <c r="D74">
        <v>138703</v>
      </c>
      <c r="E74">
        <v>528</v>
      </c>
      <c r="F74">
        <v>0.33</v>
      </c>
      <c r="G74">
        <v>3</v>
      </c>
      <c r="H74" s="2" t="s">
        <v>22</v>
      </c>
      <c r="I74" s="2" t="s">
        <v>23</v>
      </c>
      <c r="J74">
        <v>13</v>
      </c>
      <c r="K74">
        <f>IF(AND(Banking_Credit_Risk_Dirty[[#This Row],[Borrower_Credit_Score]]&gt;=300,Banking_Credit_Risk_Dirty[[#This Row],[Borrower_Credit_Score]]&lt;=850),Banking_Credit_Risk_Dirty[[#This Row],[Borrower_Credit_Score]],"")</f>
        <v>528</v>
      </c>
    </row>
    <row r="75" spans="1:11" x14ac:dyDescent="0.25">
      <c r="A75" s="2" t="s">
        <v>97</v>
      </c>
      <c r="B75" s="2" t="s">
        <v>11</v>
      </c>
      <c r="C75" s="1">
        <v>45942</v>
      </c>
      <c r="D75">
        <v>85470</v>
      </c>
      <c r="E75">
        <v>801</v>
      </c>
      <c r="F75">
        <v>0.34</v>
      </c>
      <c r="G75">
        <v>0</v>
      </c>
      <c r="H75" s="2" t="s">
        <v>16</v>
      </c>
      <c r="I75" s="2" t="s">
        <v>13</v>
      </c>
      <c r="J75">
        <v>10</v>
      </c>
      <c r="K75">
        <f>IF(AND(Banking_Credit_Risk_Dirty[[#This Row],[Borrower_Credit_Score]]&gt;=300,Banking_Credit_Risk_Dirty[[#This Row],[Borrower_Credit_Score]]&lt;=850),Banking_Credit_Risk_Dirty[[#This Row],[Borrower_Credit_Score]],"")</f>
        <v>801</v>
      </c>
    </row>
    <row r="76" spans="1:11" x14ac:dyDescent="0.25">
      <c r="A76" s="2" t="s">
        <v>98</v>
      </c>
      <c r="B76" s="2" t="s">
        <v>15</v>
      </c>
      <c r="C76" s="1">
        <v>45917</v>
      </c>
      <c r="D76">
        <v>83777</v>
      </c>
      <c r="E76">
        <v>481</v>
      </c>
      <c r="F76">
        <v>0.39</v>
      </c>
      <c r="G76">
        <v>5</v>
      </c>
      <c r="H76" s="2" t="s">
        <v>12</v>
      </c>
      <c r="I76" s="2" t="s">
        <v>23</v>
      </c>
      <c r="J76">
        <v>11</v>
      </c>
      <c r="K76">
        <f>IF(AND(Banking_Credit_Risk_Dirty[[#This Row],[Borrower_Credit_Score]]&gt;=300,Banking_Credit_Risk_Dirty[[#This Row],[Borrower_Credit_Score]]&lt;=850),Banking_Credit_Risk_Dirty[[#This Row],[Borrower_Credit_Score]],"")</f>
        <v>481</v>
      </c>
    </row>
    <row r="77" spans="1:11" x14ac:dyDescent="0.25">
      <c r="A77" s="2" t="s">
        <v>99</v>
      </c>
      <c r="B77" s="2" t="s">
        <v>21</v>
      </c>
      <c r="C77" s="1">
        <v>45374</v>
      </c>
      <c r="D77">
        <v>41224</v>
      </c>
      <c r="E77">
        <v>630</v>
      </c>
      <c r="F77">
        <v>0.53</v>
      </c>
      <c r="G77">
        <v>6</v>
      </c>
      <c r="H77" s="2" t="s">
        <v>22</v>
      </c>
      <c r="I77" s="2" t="s">
        <v>17</v>
      </c>
      <c r="J77">
        <v>29</v>
      </c>
      <c r="K77">
        <f>IF(AND(Banking_Credit_Risk_Dirty[[#This Row],[Borrower_Credit_Score]]&gt;=300,Banking_Credit_Risk_Dirty[[#This Row],[Borrower_Credit_Score]]&lt;=850),Banking_Credit_Risk_Dirty[[#This Row],[Borrower_Credit_Score]],"")</f>
        <v>630</v>
      </c>
    </row>
    <row r="78" spans="1:11" x14ac:dyDescent="0.25">
      <c r="A78" s="2" t="s">
        <v>100</v>
      </c>
      <c r="B78" s="2" t="s">
        <v>15</v>
      </c>
      <c r="C78" s="1">
        <v>45810</v>
      </c>
      <c r="D78">
        <v>111805</v>
      </c>
      <c r="E78">
        <v>577</v>
      </c>
      <c r="F78">
        <v>0.35</v>
      </c>
      <c r="G78">
        <v>0</v>
      </c>
      <c r="H78" s="2" t="s">
        <v>12</v>
      </c>
      <c r="I78" s="2" t="s">
        <v>13</v>
      </c>
      <c r="J78">
        <v>15</v>
      </c>
      <c r="K78">
        <f>IF(AND(Banking_Credit_Risk_Dirty[[#This Row],[Borrower_Credit_Score]]&gt;=300,Banking_Credit_Risk_Dirty[[#This Row],[Borrower_Credit_Score]]&lt;=850),Banking_Credit_Risk_Dirty[[#This Row],[Borrower_Credit_Score]],"")</f>
        <v>577</v>
      </c>
    </row>
    <row r="79" spans="1:11" x14ac:dyDescent="0.25">
      <c r="A79" s="2" t="s">
        <v>101</v>
      </c>
      <c r="B79" s="2" t="s">
        <v>21</v>
      </c>
      <c r="C79" s="1">
        <v>45866</v>
      </c>
      <c r="D79">
        <v>136414</v>
      </c>
      <c r="E79">
        <v>639</v>
      </c>
      <c r="F79">
        <v>0.28000000000000003</v>
      </c>
      <c r="G79">
        <v>0</v>
      </c>
      <c r="H79" s="2" t="s">
        <v>12</v>
      </c>
      <c r="I79" s="2" t="s">
        <v>13</v>
      </c>
      <c r="J79">
        <v>13</v>
      </c>
      <c r="K79">
        <f>IF(AND(Banking_Credit_Risk_Dirty[[#This Row],[Borrower_Credit_Score]]&gt;=300,Banking_Credit_Risk_Dirty[[#This Row],[Borrower_Credit_Score]]&lt;=850),Banking_Credit_Risk_Dirty[[#This Row],[Borrower_Credit_Score]],"")</f>
        <v>639</v>
      </c>
    </row>
    <row r="80" spans="1:11" x14ac:dyDescent="0.25">
      <c r="A80" s="2" t="s">
        <v>102</v>
      </c>
      <c r="B80" s="2" t="s">
        <v>15</v>
      </c>
      <c r="C80" s="1">
        <v>45707</v>
      </c>
      <c r="D80">
        <v>109439</v>
      </c>
      <c r="E80">
        <v>525</v>
      </c>
      <c r="F80">
        <v>0.51</v>
      </c>
      <c r="G80">
        <v>5</v>
      </c>
      <c r="H80" s="2" t="s">
        <v>12</v>
      </c>
      <c r="I80" s="2" t="s">
        <v>89</v>
      </c>
      <c r="J80">
        <v>18</v>
      </c>
      <c r="K80">
        <f>IF(AND(Banking_Credit_Risk_Dirty[[#This Row],[Borrower_Credit_Score]]&gt;=300,Banking_Credit_Risk_Dirty[[#This Row],[Borrower_Credit_Score]]&lt;=850),Banking_Credit_Risk_Dirty[[#This Row],[Borrower_Credit_Score]],"")</f>
        <v>525</v>
      </c>
    </row>
    <row r="81" spans="1:11" x14ac:dyDescent="0.25">
      <c r="A81" s="2" t="s">
        <v>103</v>
      </c>
      <c r="B81" s="2" t="s">
        <v>21</v>
      </c>
      <c r="C81" s="1">
        <v>45803</v>
      </c>
      <c r="D81">
        <v>88933</v>
      </c>
      <c r="E81">
        <v>804</v>
      </c>
      <c r="F81">
        <v>0.27</v>
      </c>
      <c r="G81">
        <v>3</v>
      </c>
      <c r="H81" s="2" t="s">
        <v>41</v>
      </c>
      <c r="I81" s="2" t="s">
        <v>17</v>
      </c>
      <c r="J81">
        <v>15</v>
      </c>
      <c r="K81">
        <f>IF(AND(Banking_Credit_Risk_Dirty[[#This Row],[Borrower_Credit_Score]]&gt;=300,Banking_Credit_Risk_Dirty[[#This Row],[Borrower_Credit_Score]]&lt;=850),Banking_Credit_Risk_Dirty[[#This Row],[Borrower_Credit_Score]],"")</f>
        <v>804</v>
      </c>
    </row>
    <row r="82" spans="1:11" x14ac:dyDescent="0.25">
      <c r="A82" s="2" t="s">
        <v>104</v>
      </c>
      <c r="B82" s="2" t="s">
        <v>43</v>
      </c>
      <c r="C82" s="1">
        <v>45781</v>
      </c>
      <c r="D82">
        <v>86628</v>
      </c>
      <c r="E82">
        <v>515</v>
      </c>
      <c r="F82">
        <v>0.45</v>
      </c>
      <c r="G82">
        <v>0</v>
      </c>
      <c r="H82" s="2" t="s">
        <v>19</v>
      </c>
      <c r="I82" s="2" t="s">
        <v>13</v>
      </c>
      <c r="J82">
        <v>16</v>
      </c>
      <c r="K82">
        <f>IF(AND(Banking_Credit_Risk_Dirty[[#This Row],[Borrower_Credit_Score]]&gt;=300,Banking_Credit_Risk_Dirty[[#This Row],[Borrower_Credit_Score]]&lt;=850),Banking_Credit_Risk_Dirty[[#This Row],[Borrower_Credit_Score]],"")</f>
        <v>515</v>
      </c>
    </row>
    <row r="83" spans="1:11" x14ac:dyDescent="0.25">
      <c r="A83" s="2" t="s">
        <v>105</v>
      </c>
      <c r="B83" s="2" t="s">
        <v>11</v>
      </c>
      <c r="C83" s="1">
        <v>45408</v>
      </c>
      <c r="D83">
        <v>107854</v>
      </c>
      <c r="E83">
        <v>831</v>
      </c>
      <c r="F83">
        <v>0.23</v>
      </c>
      <c r="G83">
        <v>0</v>
      </c>
      <c r="H83" s="2" t="s">
        <v>19</v>
      </c>
      <c r="I83" s="2" t="s">
        <v>13</v>
      </c>
      <c r="J83">
        <v>28</v>
      </c>
      <c r="K83">
        <f>IF(AND(Banking_Credit_Risk_Dirty[[#This Row],[Borrower_Credit_Score]]&gt;=300,Banking_Credit_Risk_Dirty[[#This Row],[Borrower_Credit_Score]]&lt;=850),Banking_Credit_Risk_Dirty[[#This Row],[Borrower_Credit_Score]],"")</f>
        <v>831</v>
      </c>
    </row>
    <row r="84" spans="1:11" x14ac:dyDescent="0.25">
      <c r="A84" s="2" t="s">
        <v>106</v>
      </c>
      <c r="B84" s="2" t="s">
        <v>15</v>
      </c>
      <c r="C84" s="1">
        <v>45643</v>
      </c>
      <c r="D84">
        <v>36340</v>
      </c>
      <c r="E84">
        <v>790</v>
      </c>
      <c r="F84">
        <v>0.53</v>
      </c>
      <c r="G84">
        <v>4</v>
      </c>
      <c r="H84" s="2" t="s">
        <v>19</v>
      </c>
      <c r="I84" s="2" t="s">
        <v>17</v>
      </c>
      <c r="J84">
        <v>20</v>
      </c>
      <c r="K84">
        <f>IF(AND(Banking_Credit_Risk_Dirty[[#This Row],[Borrower_Credit_Score]]&gt;=300,Banking_Credit_Risk_Dirty[[#This Row],[Borrower_Credit_Score]]&lt;=850),Banking_Credit_Risk_Dirty[[#This Row],[Borrower_Credit_Score]],"")</f>
        <v>790</v>
      </c>
    </row>
    <row r="85" spans="1:11" x14ac:dyDescent="0.25">
      <c r="A85" s="2" t="s">
        <v>107</v>
      </c>
      <c r="B85" s="2" t="s">
        <v>11</v>
      </c>
      <c r="C85" s="1">
        <v>45682</v>
      </c>
      <c r="D85">
        <v>114558</v>
      </c>
      <c r="E85">
        <v>456</v>
      </c>
      <c r="F85">
        <v>0.39</v>
      </c>
      <c r="G85">
        <v>0</v>
      </c>
      <c r="H85" s="2" t="s">
        <v>19</v>
      </c>
      <c r="I85" s="2" t="s">
        <v>13</v>
      </c>
      <c r="J85">
        <v>19</v>
      </c>
      <c r="K85">
        <f>IF(AND(Banking_Credit_Risk_Dirty[[#This Row],[Borrower_Credit_Score]]&gt;=300,Banking_Credit_Risk_Dirty[[#This Row],[Borrower_Credit_Score]]&lt;=850),Banking_Credit_Risk_Dirty[[#This Row],[Borrower_Credit_Score]],"")</f>
        <v>456</v>
      </c>
    </row>
    <row r="86" spans="1:11" x14ac:dyDescent="0.25">
      <c r="A86" s="2" t="s">
        <v>108</v>
      </c>
      <c r="B86" s="2" t="s">
        <v>15</v>
      </c>
      <c r="C86" s="1">
        <v>45747</v>
      </c>
      <c r="D86">
        <v>111508</v>
      </c>
      <c r="E86">
        <v>793</v>
      </c>
      <c r="F86">
        <v>0.46</v>
      </c>
      <c r="G86">
        <v>6</v>
      </c>
      <c r="H86" s="2" t="s">
        <v>16</v>
      </c>
      <c r="I86" s="2" t="s">
        <v>17</v>
      </c>
      <c r="J86">
        <v>17</v>
      </c>
      <c r="K86">
        <f>IF(AND(Banking_Credit_Risk_Dirty[[#This Row],[Borrower_Credit_Score]]&gt;=300,Banking_Credit_Risk_Dirty[[#This Row],[Borrower_Credit_Score]]&lt;=850),Banking_Credit_Risk_Dirty[[#This Row],[Borrower_Credit_Score]],"")</f>
        <v>793</v>
      </c>
    </row>
    <row r="87" spans="1:11" x14ac:dyDescent="0.25">
      <c r="A87" s="2" t="s">
        <v>109</v>
      </c>
      <c r="B87" s="2" t="s">
        <v>15</v>
      </c>
      <c r="C87" s="1">
        <v>45618</v>
      </c>
      <c r="D87">
        <v>149158</v>
      </c>
      <c r="E87">
        <v>848</v>
      </c>
      <c r="F87">
        <v>0.34</v>
      </c>
      <c r="G87">
        <v>1</v>
      </c>
      <c r="H87" s="2" t="s">
        <v>27</v>
      </c>
      <c r="I87" s="2" t="s">
        <v>17</v>
      </c>
      <c r="J87">
        <v>21</v>
      </c>
      <c r="K87">
        <f>IF(AND(Banking_Credit_Risk_Dirty[[#This Row],[Borrower_Credit_Score]]&gt;=300,Banking_Credit_Risk_Dirty[[#This Row],[Borrower_Credit_Score]]&lt;=850),Banking_Credit_Risk_Dirty[[#This Row],[Borrower_Credit_Score]],"")</f>
        <v>848</v>
      </c>
    </row>
    <row r="88" spans="1:11" x14ac:dyDescent="0.25">
      <c r="A88" s="2" t="s">
        <v>110</v>
      </c>
      <c r="B88" s="2" t="s">
        <v>15</v>
      </c>
      <c r="C88" s="1">
        <v>45761</v>
      </c>
      <c r="D88">
        <v>54700</v>
      </c>
      <c r="E88">
        <v>553</v>
      </c>
      <c r="F88">
        <v>0.42</v>
      </c>
      <c r="G88">
        <v>6</v>
      </c>
      <c r="H88" s="2" t="s">
        <v>19</v>
      </c>
      <c r="I88" s="2" t="s">
        <v>23</v>
      </c>
      <c r="J88">
        <v>16</v>
      </c>
      <c r="K88">
        <f>IF(AND(Banking_Credit_Risk_Dirty[[#This Row],[Borrower_Credit_Score]]&gt;=300,Banking_Credit_Risk_Dirty[[#This Row],[Borrower_Credit_Score]]&lt;=850),Banking_Credit_Risk_Dirty[[#This Row],[Borrower_Credit_Score]],"")</f>
        <v>553</v>
      </c>
    </row>
    <row r="89" spans="1:11" x14ac:dyDescent="0.25">
      <c r="A89" s="2" t="s">
        <v>111</v>
      </c>
      <c r="B89" s="2" t="s">
        <v>15</v>
      </c>
      <c r="C89" s="1">
        <v>45888</v>
      </c>
      <c r="D89">
        <v>135336</v>
      </c>
      <c r="E89">
        <v>539</v>
      </c>
      <c r="F89">
        <v>0.33</v>
      </c>
      <c r="G89">
        <v>4</v>
      </c>
      <c r="H89" s="2" t="s">
        <v>16</v>
      </c>
      <c r="I89" s="2" t="s">
        <v>23</v>
      </c>
      <c r="J89">
        <v>12</v>
      </c>
      <c r="K89">
        <f>IF(AND(Banking_Credit_Risk_Dirty[[#This Row],[Borrower_Credit_Score]]&gt;=300,Banking_Credit_Risk_Dirty[[#This Row],[Borrower_Credit_Score]]&lt;=850),Banking_Credit_Risk_Dirty[[#This Row],[Borrower_Credit_Score]],"")</f>
        <v>539</v>
      </c>
    </row>
    <row r="90" spans="1:11" x14ac:dyDescent="0.25">
      <c r="A90" s="2" t="s">
        <v>112</v>
      </c>
      <c r="B90" s="2" t="s">
        <v>11</v>
      </c>
      <c r="C90" s="1">
        <v>45399</v>
      </c>
      <c r="D90">
        <v>70730</v>
      </c>
      <c r="E90">
        <v>664</v>
      </c>
      <c r="F90">
        <v>0.56999999999999995</v>
      </c>
      <c r="G90">
        <v>0</v>
      </c>
      <c r="H90" s="2" t="s">
        <v>12</v>
      </c>
      <c r="I90" s="2" t="s">
        <v>13</v>
      </c>
      <c r="J90">
        <v>28</v>
      </c>
      <c r="K90">
        <f>IF(AND(Banking_Credit_Risk_Dirty[[#This Row],[Borrower_Credit_Score]]&gt;=300,Banking_Credit_Risk_Dirty[[#This Row],[Borrower_Credit_Score]]&lt;=850),Banking_Credit_Risk_Dirty[[#This Row],[Borrower_Credit_Score]],"")</f>
        <v>664</v>
      </c>
    </row>
    <row r="91" spans="1:11" x14ac:dyDescent="0.25">
      <c r="A91" s="2" t="s">
        <v>113</v>
      </c>
      <c r="B91" s="2" t="s">
        <v>21</v>
      </c>
      <c r="C91" s="1">
        <v>45596</v>
      </c>
      <c r="D91">
        <v>43944</v>
      </c>
      <c r="E91">
        <v>484</v>
      </c>
      <c r="F91">
        <v>0.2</v>
      </c>
      <c r="G91">
        <v>0</v>
      </c>
      <c r="H91" s="2" t="s">
        <v>41</v>
      </c>
      <c r="I91" s="2" t="s">
        <v>13</v>
      </c>
      <c r="J91">
        <v>22</v>
      </c>
      <c r="K91">
        <f>IF(AND(Banking_Credit_Risk_Dirty[[#This Row],[Borrower_Credit_Score]]&gt;=300,Banking_Credit_Risk_Dirty[[#This Row],[Borrower_Credit_Score]]&lt;=850),Banking_Credit_Risk_Dirty[[#This Row],[Borrower_Credit_Score]],"")</f>
        <v>484</v>
      </c>
    </row>
    <row r="92" spans="1:11" x14ac:dyDescent="0.25">
      <c r="A92" s="2" t="s">
        <v>114</v>
      </c>
      <c r="B92" s="2" t="s">
        <v>43</v>
      </c>
      <c r="C92" s="1">
        <v>45407</v>
      </c>
      <c r="D92">
        <v>141922</v>
      </c>
      <c r="E92">
        <v>613</v>
      </c>
      <c r="F92">
        <v>0.57999999999999996</v>
      </c>
      <c r="G92">
        <v>0</v>
      </c>
      <c r="H92" s="2" t="s">
        <v>16</v>
      </c>
      <c r="I92" s="2" t="s">
        <v>13</v>
      </c>
      <c r="J92">
        <v>28</v>
      </c>
      <c r="K92">
        <f>IF(AND(Banking_Credit_Risk_Dirty[[#This Row],[Borrower_Credit_Score]]&gt;=300,Banking_Credit_Risk_Dirty[[#This Row],[Borrower_Credit_Score]]&lt;=850),Banking_Credit_Risk_Dirty[[#This Row],[Borrower_Credit_Score]],"")</f>
        <v>613</v>
      </c>
    </row>
    <row r="93" spans="1:11" x14ac:dyDescent="0.25">
      <c r="A93" s="2" t="s">
        <v>115</v>
      </c>
      <c r="B93" s="2" t="s">
        <v>15</v>
      </c>
      <c r="C93" s="1">
        <v>45695</v>
      </c>
      <c r="D93">
        <v>115868</v>
      </c>
      <c r="E93">
        <v>791</v>
      </c>
      <c r="F93">
        <v>0.16</v>
      </c>
      <c r="G93">
        <v>0</v>
      </c>
      <c r="H93" s="2" t="s">
        <v>16</v>
      </c>
      <c r="I93" s="2" t="s">
        <v>13</v>
      </c>
      <c r="J93">
        <v>19</v>
      </c>
      <c r="K93">
        <f>IF(AND(Banking_Credit_Risk_Dirty[[#This Row],[Borrower_Credit_Score]]&gt;=300,Banking_Credit_Risk_Dirty[[#This Row],[Borrower_Credit_Score]]&lt;=850),Banking_Credit_Risk_Dirty[[#This Row],[Borrower_Credit_Score]],"")</f>
        <v>791</v>
      </c>
    </row>
    <row r="94" spans="1:11" x14ac:dyDescent="0.25">
      <c r="A94" s="2" t="s">
        <v>116</v>
      </c>
      <c r="B94" s="2" t="s">
        <v>21</v>
      </c>
      <c r="C94" s="1">
        <v>45541</v>
      </c>
      <c r="D94">
        <v>65020</v>
      </c>
      <c r="E94">
        <v>817</v>
      </c>
      <c r="F94">
        <v>0.61</v>
      </c>
      <c r="G94">
        <v>3</v>
      </c>
      <c r="H94" s="2" t="s">
        <v>12</v>
      </c>
      <c r="I94" s="2" t="s">
        <v>17</v>
      </c>
      <c r="J94">
        <v>24</v>
      </c>
      <c r="K94">
        <f>IF(AND(Banking_Credit_Risk_Dirty[[#This Row],[Borrower_Credit_Score]]&gt;=300,Banking_Credit_Risk_Dirty[[#This Row],[Borrower_Credit_Score]]&lt;=850),Banking_Credit_Risk_Dirty[[#This Row],[Borrower_Credit_Score]],"")</f>
        <v>817</v>
      </c>
    </row>
    <row r="95" spans="1:11" x14ac:dyDescent="0.25">
      <c r="A95" s="2" t="s">
        <v>117</v>
      </c>
      <c r="B95" s="2" t="s">
        <v>15</v>
      </c>
      <c r="C95" s="1">
        <v>45925</v>
      </c>
      <c r="D95">
        <v>65791</v>
      </c>
      <c r="E95">
        <v>734</v>
      </c>
      <c r="F95">
        <v>0.2</v>
      </c>
      <c r="G95">
        <v>0</v>
      </c>
      <c r="H95" s="2" t="s">
        <v>27</v>
      </c>
      <c r="I95" s="2" t="s">
        <v>13</v>
      </c>
      <c r="J95">
        <v>11</v>
      </c>
      <c r="K95">
        <f>IF(AND(Banking_Credit_Risk_Dirty[[#This Row],[Borrower_Credit_Score]]&gt;=300,Banking_Credit_Risk_Dirty[[#This Row],[Borrower_Credit_Score]]&lt;=850),Banking_Credit_Risk_Dirty[[#This Row],[Borrower_Credit_Score]],"")</f>
        <v>734</v>
      </c>
    </row>
    <row r="96" spans="1:11" x14ac:dyDescent="0.25">
      <c r="A96" s="2" t="s">
        <v>118</v>
      </c>
      <c r="B96" s="2" t="s">
        <v>15</v>
      </c>
      <c r="C96" s="1">
        <v>45624</v>
      </c>
      <c r="D96">
        <v>26772</v>
      </c>
      <c r="E96">
        <v>539</v>
      </c>
      <c r="F96">
        <v>0.56000000000000005</v>
      </c>
      <c r="G96">
        <v>1</v>
      </c>
      <c r="H96" s="2" t="s">
        <v>12</v>
      </c>
      <c r="I96" s="2" t="s">
        <v>89</v>
      </c>
      <c r="J96">
        <v>21</v>
      </c>
      <c r="K96">
        <f>IF(AND(Banking_Credit_Risk_Dirty[[#This Row],[Borrower_Credit_Score]]&gt;=300,Banking_Credit_Risk_Dirty[[#This Row],[Borrower_Credit_Score]]&lt;=850),Banking_Credit_Risk_Dirty[[#This Row],[Borrower_Credit_Score]],"")</f>
        <v>539</v>
      </c>
    </row>
    <row r="97" spans="1:11" x14ac:dyDescent="0.25">
      <c r="A97" s="2" t="s">
        <v>119</v>
      </c>
      <c r="B97" s="2" t="s">
        <v>21</v>
      </c>
      <c r="C97" s="1">
        <v>45417</v>
      </c>
      <c r="D97">
        <v>111396</v>
      </c>
      <c r="E97">
        <v>770</v>
      </c>
      <c r="F97">
        <v>0.44</v>
      </c>
      <c r="G97">
        <v>6</v>
      </c>
      <c r="H97" s="2" t="s">
        <v>19</v>
      </c>
      <c r="I97" s="2" t="s">
        <v>23</v>
      </c>
      <c r="J97">
        <v>28</v>
      </c>
      <c r="K97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98" spans="1:11" x14ac:dyDescent="0.25">
      <c r="A98" s="2" t="s">
        <v>120</v>
      </c>
      <c r="B98" s="2" t="s">
        <v>21</v>
      </c>
      <c r="C98" s="1">
        <v>45938</v>
      </c>
      <c r="D98">
        <v>30527</v>
      </c>
      <c r="E98">
        <v>687</v>
      </c>
      <c r="F98">
        <v>0.31</v>
      </c>
      <c r="G98">
        <v>4</v>
      </c>
      <c r="H98" s="2" t="s">
        <v>27</v>
      </c>
      <c r="I98" s="2" t="s">
        <v>17</v>
      </c>
      <c r="J98">
        <v>11</v>
      </c>
      <c r="K98">
        <f>IF(AND(Banking_Credit_Risk_Dirty[[#This Row],[Borrower_Credit_Score]]&gt;=300,Banking_Credit_Risk_Dirty[[#This Row],[Borrower_Credit_Score]]&lt;=850),Banking_Credit_Risk_Dirty[[#This Row],[Borrower_Credit_Score]],"")</f>
        <v>687</v>
      </c>
    </row>
    <row r="99" spans="1:11" x14ac:dyDescent="0.25">
      <c r="A99" s="2" t="s">
        <v>121</v>
      </c>
      <c r="B99" s="2" t="s">
        <v>15</v>
      </c>
      <c r="C99" s="1">
        <v>45538</v>
      </c>
      <c r="D99">
        <v>65056</v>
      </c>
      <c r="E99">
        <v>688</v>
      </c>
      <c r="F99">
        <v>0.63</v>
      </c>
      <c r="G99">
        <v>0</v>
      </c>
      <c r="H99" s="2" t="s">
        <v>19</v>
      </c>
      <c r="I99" s="2" t="s">
        <v>23</v>
      </c>
      <c r="J99">
        <v>24</v>
      </c>
      <c r="K99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100" spans="1:11" x14ac:dyDescent="0.25">
      <c r="A100" s="2" t="s">
        <v>122</v>
      </c>
      <c r="B100" s="2" t="s">
        <v>15</v>
      </c>
      <c r="C100" s="1">
        <v>45837</v>
      </c>
      <c r="D100">
        <v>18720</v>
      </c>
      <c r="E100">
        <v>685</v>
      </c>
      <c r="F100">
        <v>0.4</v>
      </c>
      <c r="G100">
        <v>0</v>
      </c>
      <c r="H100" s="2" t="s">
        <v>41</v>
      </c>
      <c r="I100" s="2" t="s">
        <v>13</v>
      </c>
      <c r="J100">
        <v>14</v>
      </c>
      <c r="K100">
        <f>IF(AND(Banking_Credit_Risk_Dirty[[#This Row],[Borrower_Credit_Score]]&gt;=300,Banking_Credit_Risk_Dirty[[#This Row],[Borrower_Credit_Score]]&lt;=850),Banking_Credit_Risk_Dirty[[#This Row],[Borrower_Credit_Score]],"")</f>
        <v>685</v>
      </c>
    </row>
    <row r="101" spans="1:11" x14ac:dyDescent="0.25">
      <c r="A101" s="2" t="s">
        <v>123</v>
      </c>
      <c r="B101" s="2" t="s">
        <v>21</v>
      </c>
      <c r="C101" s="1">
        <v>45753</v>
      </c>
      <c r="D101">
        <v>37093</v>
      </c>
      <c r="E101">
        <v>487</v>
      </c>
      <c r="F101">
        <v>0.64</v>
      </c>
      <c r="G101">
        <v>4</v>
      </c>
      <c r="H101" s="2" t="s">
        <v>12</v>
      </c>
      <c r="I101" s="2" t="s">
        <v>89</v>
      </c>
      <c r="J101">
        <v>17</v>
      </c>
      <c r="K101">
        <f>IF(AND(Banking_Credit_Risk_Dirty[[#This Row],[Borrower_Credit_Score]]&gt;=300,Banking_Credit_Risk_Dirty[[#This Row],[Borrower_Credit_Score]]&lt;=850),Banking_Credit_Risk_Dirty[[#This Row],[Borrower_Credit_Score]],"")</f>
        <v>487</v>
      </c>
    </row>
    <row r="102" spans="1:11" x14ac:dyDescent="0.25">
      <c r="A102" s="2" t="s">
        <v>124</v>
      </c>
      <c r="B102" s="2" t="s">
        <v>15</v>
      </c>
      <c r="C102" s="1">
        <v>45973</v>
      </c>
      <c r="D102">
        <v>59110</v>
      </c>
      <c r="E102">
        <v>694</v>
      </c>
      <c r="F102">
        <v>0.24</v>
      </c>
      <c r="G102">
        <v>5</v>
      </c>
      <c r="H102" s="2" t="s">
        <v>27</v>
      </c>
      <c r="I102" s="2" t="s">
        <v>17</v>
      </c>
      <c r="J102">
        <v>9</v>
      </c>
      <c r="K102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103" spans="1:11" x14ac:dyDescent="0.25">
      <c r="A103" s="2" t="s">
        <v>125</v>
      </c>
      <c r="B103" s="2" t="s">
        <v>15</v>
      </c>
      <c r="C103" s="1">
        <v>45740</v>
      </c>
      <c r="D103">
        <v>125525</v>
      </c>
      <c r="E103">
        <v>750</v>
      </c>
      <c r="F103">
        <v>0.3</v>
      </c>
      <c r="G103">
        <v>2</v>
      </c>
      <c r="H103" s="2" t="s">
        <v>12</v>
      </c>
      <c r="I103" s="2" t="s">
        <v>23</v>
      </c>
      <c r="J103">
        <v>17</v>
      </c>
      <c r="K103">
        <f>IF(AND(Banking_Credit_Risk_Dirty[[#This Row],[Borrower_Credit_Score]]&gt;=300,Banking_Credit_Risk_Dirty[[#This Row],[Borrower_Credit_Score]]&lt;=850),Banking_Credit_Risk_Dirty[[#This Row],[Borrower_Credit_Score]],"")</f>
        <v>750</v>
      </c>
    </row>
    <row r="104" spans="1:11" x14ac:dyDescent="0.25">
      <c r="A104" s="2" t="s">
        <v>126</v>
      </c>
      <c r="B104" s="2" t="s">
        <v>15</v>
      </c>
      <c r="C104" s="1">
        <v>45342</v>
      </c>
      <c r="D104">
        <v>97449</v>
      </c>
      <c r="E104">
        <v>538</v>
      </c>
      <c r="F104">
        <v>0.18</v>
      </c>
      <c r="G104">
        <v>0</v>
      </c>
      <c r="H104" s="2" t="s">
        <v>12</v>
      </c>
      <c r="I104" s="2" t="s">
        <v>13</v>
      </c>
      <c r="J104">
        <v>30</v>
      </c>
      <c r="K104">
        <f>IF(AND(Banking_Credit_Risk_Dirty[[#This Row],[Borrower_Credit_Score]]&gt;=300,Banking_Credit_Risk_Dirty[[#This Row],[Borrower_Credit_Score]]&lt;=850),Banking_Credit_Risk_Dirty[[#This Row],[Borrower_Credit_Score]],"")</f>
        <v>538</v>
      </c>
    </row>
    <row r="105" spans="1:11" x14ac:dyDescent="0.25">
      <c r="A105" s="2" t="s">
        <v>127</v>
      </c>
      <c r="B105" s="2" t="s">
        <v>43</v>
      </c>
      <c r="C105" s="1">
        <v>45620</v>
      </c>
      <c r="D105">
        <v>96334</v>
      </c>
      <c r="E105">
        <v>517</v>
      </c>
      <c r="F105">
        <v>0.39</v>
      </c>
      <c r="G105">
        <v>4</v>
      </c>
      <c r="H105" s="2" t="s">
        <v>19</v>
      </c>
      <c r="I105" s="2" t="s">
        <v>23</v>
      </c>
      <c r="J105">
        <v>21</v>
      </c>
      <c r="K105">
        <f>IF(AND(Banking_Credit_Risk_Dirty[[#This Row],[Borrower_Credit_Score]]&gt;=300,Banking_Credit_Risk_Dirty[[#This Row],[Borrower_Credit_Score]]&lt;=850),Banking_Credit_Risk_Dirty[[#This Row],[Borrower_Credit_Score]],"")</f>
        <v>517</v>
      </c>
    </row>
    <row r="106" spans="1:11" x14ac:dyDescent="0.25">
      <c r="A106" s="2" t="s">
        <v>128</v>
      </c>
      <c r="B106" s="2" t="s">
        <v>21</v>
      </c>
      <c r="C106" s="1">
        <v>45790</v>
      </c>
      <c r="D106">
        <v>32027</v>
      </c>
      <c r="E106">
        <v>622</v>
      </c>
      <c r="F106">
        <v>0.36</v>
      </c>
      <c r="G106">
        <v>0</v>
      </c>
      <c r="H106" s="2" t="s">
        <v>22</v>
      </c>
      <c r="I106" s="2" t="s">
        <v>13</v>
      </c>
      <c r="J106">
        <v>15</v>
      </c>
      <c r="K106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107" spans="1:11" x14ac:dyDescent="0.25">
      <c r="A107" s="2" t="s">
        <v>129</v>
      </c>
      <c r="B107" s="2" t="s">
        <v>15</v>
      </c>
      <c r="C107" s="1">
        <v>45499</v>
      </c>
      <c r="D107">
        <v>99681</v>
      </c>
      <c r="E107">
        <v>648</v>
      </c>
      <c r="F107">
        <v>0.18</v>
      </c>
      <c r="G107">
        <v>0</v>
      </c>
      <c r="H107" s="2" t="s">
        <v>22</v>
      </c>
      <c r="I107" s="2" t="s">
        <v>13</v>
      </c>
      <c r="J107">
        <v>25</v>
      </c>
      <c r="K107">
        <f>IF(AND(Banking_Credit_Risk_Dirty[[#This Row],[Borrower_Credit_Score]]&gt;=300,Banking_Credit_Risk_Dirty[[#This Row],[Borrower_Credit_Score]]&lt;=850),Banking_Credit_Risk_Dirty[[#This Row],[Borrower_Credit_Score]],"")</f>
        <v>648</v>
      </c>
    </row>
    <row r="108" spans="1:11" x14ac:dyDescent="0.25">
      <c r="A108" s="2" t="s">
        <v>130</v>
      </c>
      <c r="B108" s="2" t="s">
        <v>15</v>
      </c>
      <c r="C108" s="1">
        <v>45744</v>
      </c>
      <c r="D108">
        <v>126207</v>
      </c>
      <c r="E108">
        <v>711</v>
      </c>
      <c r="F108">
        <v>0.37</v>
      </c>
      <c r="G108">
        <v>0</v>
      </c>
      <c r="H108" s="2" t="s">
        <v>22</v>
      </c>
      <c r="I108" s="2" t="s">
        <v>23</v>
      </c>
      <c r="J108">
        <v>17</v>
      </c>
      <c r="K108">
        <f>IF(AND(Banking_Credit_Risk_Dirty[[#This Row],[Borrower_Credit_Score]]&gt;=300,Banking_Credit_Risk_Dirty[[#This Row],[Borrower_Credit_Score]]&lt;=850),Banking_Credit_Risk_Dirty[[#This Row],[Borrower_Credit_Score]],"")</f>
        <v>711</v>
      </c>
    </row>
    <row r="109" spans="1:11" x14ac:dyDescent="0.25">
      <c r="A109" s="2" t="s">
        <v>131</v>
      </c>
      <c r="B109" s="2" t="s">
        <v>15</v>
      </c>
      <c r="C109" s="1">
        <v>45539</v>
      </c>
      <c r="D109">
        <v>51594</v>
      </c>
      <c r="E109">
        <v>498</v>
      </c>
      <c r="F109">
        <v>0.19</v>
      </c>
      <c r="G109">
        <v>0</v>
      </c>
      <c r="H109" s="2" t="s">
        <v>22</v>
      </c>
      <c r="I109" s="2" t="s">
        <v>13</v>
      </c>
      <c r="J109">
        <v>24</v>
      </c>
      <c r="K109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110" spans="1:11" x14ac:dyDescent="0.25">
      <c r="A110" s="2" t="s">
        <v>132</v>
      </c>
      <c r="B110" s="2" t="s">
        <v>15</v>
      </c>
      <c r="C110" s="1">
        <v>45945</v>
      </c>
      <c r="D110">
        <v>87794</v>
      </c>
      <c r="E110">
        <v>777</v>
      </c>
      <c r="F110">
        <v>0.24</v>
      </c>
      <c r="G110">
        <v>6</v>
      </c>
      <c r="H110" s="2" t="s">
        <v>16</v>
      </c>
      <c r="I110" s="2" t="s">
        <v>23</v>
      </c>
      <c r="J110">
        <v>10</v>
      </c>
      <c r="K110">
        <f>IF(AND(Banking_Credit_Risk_Dirty[[#This Row],[Borrower_Credit_Score]]&gt;=300,Banking_Credit_Risk_Dirty[[#This Row],[Borrower_Credit_Score]]&lt;=850),Banking_Credit_Risk_Dirty[[#This Row],[Borrower_Credit_Score]],"")</f>
        <v>777</v>
      </c>
    </row>
    <row r="111" spans="1:11" x14ac:dyDescent="0.25">
      <c r="A111" s="2" t="s">
        <v>133</v>
      </c>
      <c r="B111" s="2" t="s">
        <v>11</v>
      </c>
      <c r="C111" s="1">
        <v>45764</v>
      </c>
      <c r="D111">
        <v>68556</v>
      </c>
      <c r="E111">
        <v>515</v>
      </c>
      <c r="F111">
        <v>0.49</v>
      </c>
      <c r="G111">
        <v>0</v>
      </c>
      <c r="H111" s="2" t="s">
        <v>22</v>
      </c>
      <c r="I111" s="2" t="s">
        <v>13</v>
      </c>
      <c r="J111">
        <v>16</v>
      </c>
      <c r="K111">
        <f>IF(AND(Banking_Credit_Risk_Dirty[[#This Row],[Borrower_Credit_Score]]&gt;=300,Banking_Credit_Risk_Dirty[[#This Row],[Borrower_Credit_Score]]&lt;=850),Banking_Credit_Risk_Dirty[[#This Row],[Borrower_Credit_Score]],"")</f>
        <v>515</v>
      </c>
    </row>
    <row r="112" spans="1:11" x14ac:dyDescent="0.25">
      <c r="A112" s="2" t="s">
        <v>134</v>
      </c>
      <c r="B112" s="2" t="s">
        <v>15</v>
      </c>
      <c r="C112" s="1">
        <v>45653</v>
      </c>
      <c r="D112">
        <v>73917</v>
      </c>
      <c r="E112">
        <v>670</v>
      </c>
      <c r="F112">
        <v>0.32</v>
      </c>
      <c r="G112">
        <v>0</v>
      </c>
      <c r="H112" s="2" t="s">
        <v>16</v>
      </c>
      <c r="I112" s="2" t="s">
        <v>13</v>
      </c>
      <c r="J112">
        <v>20</v>
      </c>
      <c r="K112">
        <f>IF(AND(Banking_Credit_Risk_Dirty[[#This Row],[Borrower_Credit_Score]]&gt;=300,Banking_Credit_Risk_Dirty[[#This Row],[Borrower_Credit_Score]]&lt;=850),Banking_Credit_Risk_Dirty[[#This Row],[Borrower_Credit_Score]],"")</f>
        <v>670</v>
      </c>
    </row>
    <row r="113" spans="1:11" x14ac:dyDescent="0.25">
      <c r="A113" s="2" t="s">
        <v>135</v>
      </c>
      <c r="B113" s="2" t="s">
        <v>11</v>
      </c>
      <c r="C113" s="1">
        <v>45513</v>
      </c>
      <c r="D113">
        <v>33835</v>
      </c>
      <c r="E113">
        <v>461</v>
      </c>
      <c r="F113">
        <v>0.57999999999999996</v>
      </c>
      <c r="G113">
        <v>3</v>
      </c>
      <c r="H113" s="2" t="s">
        <v>19</v>
      </c>
      <c r="I113" s="2" t="s">
        <v>89</v>
      </c>
      <c r="J113">
        <v>25</v>
      </c>
      <c r="K113">
        <f>IF(AND(Banking_Credit_Risk_Dirty[[#This Row],[Borrower_Credit_Score]]&gt;=300,Banking_Credit_Risk_Dirty[[#This Row],[Borrower_Credit_Score]]&lt;=850),Banking_Credit_Risk_Dirty[[#This Row],[Borrower_Credit_Score]],"")</f>
        <v>461</v>
      </c>
    </row>
    <row r="114" spans="1:11" x14ac:dyDescent="0.25">
      <c r="A114" s="2" t="s">
        <v>136</v>
      </c>
      <c r="B114" s="2" t="s">
        <v>15</v>
      </c>
      <c r="C114" s="1">
        <v>45791</v>
      </c>
      <c r="D114">
        <v>103385</v>
      </c>
      <c r="E114">
        <v>768</v>
      </c>
      <c r="F114">
        <v>0.57999999999999996</v>
      </c>
      <c r="G114">
        <v>0</v>
      </c>
      <c r="H114" s="2" t="s">
        <v>41</v>
      </c>
      <c r="I114" s="2" t="s">
        <v>13</v>
      </c>
      <c r="J114">
        <v>15</v>
      </c>
      <c r="K114">
        <f>IF(AND(Banking_Credit_Risk_Dirty[[#This Row],[Borrower_Credit_Score]]&gt;=300,Banking_Credit_Risk_Dirty[[#This Row],[Borrower_Credit_Score]]&lt;=850),Banking_Credit_Risk_Dirty[[#This Row],[Borrower_Credit_Score]],"")</f>
        <v>768</v>
      </c>
    </row>
    <row r="115" spans="1:11" x14ac:dyDescent="0.25">
      <c r="A115" s="2" t="s">
        <v>137</v>
      </c>
      <c r="B115" s="2" t="s">
        <v>21</v>
      </c>
      <c r="C115" s="1">
        <v>45474</v>
      </c>
      <c r="D115">
        <v>55584</v>
      </c>
      <c r="E115">
        <v>571</v>
      </c>
      <c r="F115">
        <v>0.56000000000000005</v>
      </c>
      <c r="G115">
        <v>4</v>
      </c>
      <c r="H115" s="2" t="s">
        <v>16</v>
      </c>
      <c r="I115" s="2" t="s">
        <v>89</v>
      </c>
      <c r="J115">
        <v>26</v>
      </c>
      <c r="K115">
        <f>IF(AND(Banking_Credit_Risk_Dirty[[#This Row],[Borrower_Credit_Score]]&gt;=300,Banking_Credit_Risk_Dirty[[#This Row],[Borrower_Credit_Score]]&lt;=850),Banking_Credit_Risk_Dirty[[#This Row],[Borrower_Credit_Score]],"")</f>
        <v>571</v>
      </c>
    </row>
    <row r="116" spans="1:11" x14ac:dyDescent="0.25">
      <c r="A116" s="2" t="s">
        <v>138</v>
      </c>
      <c r="B116" s="2" t="s">
        <v>15</v>
      </c>
      <c r="C116" s="1">
        <v>45433</v>
      </c>
      <c r="D116">
        <v>86667</v>
      </c>
      <c r="E116">
        <v>521</v>
      </c>
      <c r="F116">
        <v>0.3</v>
      </c>
      <c r="G116">
        <v>0</v>
      </c>
      <c r="H116" s="2" t="s">
        <v>41</v>
      </c>
      <c r="I116" s="2" t="s">
        <v>13</v>
      </c>
      <c r="J116">
        <v>27</v>
      </c>
      <c r="K116">
        <f>IF(AND(Banking_Credit_Risk_Dirty[[#This Row],[Borrower_Credit_Score]]&gt;=300,Banking_Credit_Risk_Dirty[[#This Row],[Borrower_Credit_Score]]&lt;=850),Banking_Credit_Risk_Dirty[[#This Row],[Borrower_Credit_Score]],"")</f>
        <v>521</v>
      </c>
    </row>
    <row r="117" spans="1:11" x14ac:dyDescent="0.25">
      <c r="A117" s="2" t="s">
        <v>139</v>
      </c>
      <c r="B117" s="2" t="s">
        <v>21</v>
      </c>
      <c r="C117" s="1">
        <v>45375</v>
      </c>
      <c r="D117">
        <v>22908</v>
      </c>
      <c r="E117">
        <v>696</v>
      </c>
      <c r="F117">
        <v>0.3</v>
      </c>
      <c r="G117">
        <v>0</v>
      </c>
      <c r="H117" s="2" t="s">
        <v>27</v>
      </c>
      <c r="I117" s="2" t="s">
        <v>13</v>
      </c>
      <c r="J117">
        <v>29</v>
      </c>
      <c r="K117">
        <f>IF(AND(Banking_Credit_Risk_Dirty[[#This Row],[Borrower_Credit_Score]]&gt;=300,Banking_Credit_Risk_Dirty[[#This Row],[Borrower_Credit_Score]]&lt;=850),Banking_Credit_Risk_Dirty[[#This Row],[Borrower_Credit_Score]],"")</f>
        <v>696</v>
      </c>
    </row>
    <row r="118" spans="1:11" x14ac:dyDescent="0.25">
      <c r="A118" s="2" t="s">
        <v>140</v>
      </c>
      <c r="B118" s="2" t="s">
        <v>21</v>
      </c>
      <c r="C118" s="1">
        <v>45520</v>
      </c>
      <c r="D118">
        <v>31750</v>
      </c>
      <c r="E118">
        <v>820</v>
      </c>
      <c r="F118">
        <v>0.18</v>
      </c>
      <c r="G118">
        <v>1</v>
      </c>
      <c r="H118" s="2" t="s">
        <v>12</v>
      </c>
      <c r="I118" s="2" t="s">
        <v>23</v>
      </c>
      <c r="J118">
        <v>24</v>
      </c>
      <c r="K118">
        <f>IF(AND(Banking_Credit_Risk_Dirty[[#This Row],[Borrower_Credit_Score]]&gt;=300,Banking_Credit_Risk_Dirty[[#This Row],[Borrower_Credit_Score]]&lt;=850),Banking_Credit_Risk_Dirty[[#This Row],[Borrower_Credit_Score]],"")</f>
        <v>820</v>
      </c>
    </row>
    <row r="119" spans="1:11" x14ac:dyDescent="0.25">
      <c r="A119" s="2" t="s">
        <v>141</v>
      </c>
      <c r="B119" s="2" t="s">
        <v>15</v>
      </c>
      <c r="C119" s="1">
        <v>45597</v>
      </c>
      <c r="D119">
        <v>98190</v>
      </c>
      <c r="E119">
        <v>502</v>
      </c>
      <c r="F119">
        <v>0.24</v>
      </c>
      <c r="G119">
        <v>0</v>
      </c>
      <c r="H119" s="2" t="s">
        <v>12</v>
      </c>
      <c r="I119" s="2" t="s">
        <v>13</v>
      </c>
      <c r="J119">
        <v>22</v>
      </c>
      <c r="K119">
        <f>IF(AND(Banking_Credit_Risk_Dirty[[#This Row],[Borrower_Credit_Score]]&gt;=300,Banking_Credit_Risk_Dirty[[#This Row],[Borrower_Credit_Score]]&lt;=850),Banking_Credit_Risk_Dirty[[#This Row],[Borrower_Credit_Score]],"")</f>
        <v>502</v>
      </c>
    </row>
    <row r="120" spans="1:11" x14ac:dyDescent="0.25">
      <c r="A120" s="2" t="s">
        <v>142</v>
      </c>
      <c r="B120" s="2" t="s">
        <v>21</v>
      </c>
      <c r="C120" s="1">
        <v>45331</v>
      </c>
      <c r="D120">
        <v>65794</v>
      </c>
      <c r="E120">
        <v>478</v>
      </c>
      <c r="F120">
        <v>0.28999999999999998</v>
      </c>
      <c r="G120">
        <v>1</v>
      </c>
      <c r="H120" s="2" t="s">
        <v>16</v>
      </c>
      <c r="I120" s="2" t="s">
        <v>17</v>
      </c>
      <c r="J120">
        <v>31</v>
      </c>
      <c r="K120">
        <f>IF(AND(Banking_Credit_Risk_Dirty[[#This Row],[Borrower_Credit_Score]]&gt;=300,Banking_Credit_Risk_Dirty[[#This Row],[Borrower_Credit_Score]]&lt;=850),Banking_Credit_Risk_Dirty[[#This Row],[Borrower_Credit_Score]],"")</f>
        <v>478</v>
      </c>
    </row>
    <row r="121" spans="1:11" x14ac:dyDescent="0.25">
      <c r="A121" s="2" t="s">
        <v>143</v>
      </c>
      <c r="B121" s="2" t="s">
        <v>11</v>
      </c>
      <c r="C121" s="1">
        <v>45986</v>
      </c>
      <c r="D121">
        <v>65334</v>
      </c>
      <c r="E121">
        <v>679</v>
      </c>
      <c r="F121">
        <v>0.41</v>
      </c>
      <c r="G121">
        <v>0</v>
      </c>
      <c r="H121" s="2" t="s">
        <v>12</v>
      </c>
      <c r="I121" s="2" t="s">
        <v>13</v>
      </c>
      <c r="J121">
        <v>9</v>
      </c>
      <c r="K121">
        <f>IF(AND(Banking_Credit_Risk_Dirty[[#This Row],[Borrower_Credit_Score]]&gt;=300,Banking_Credit_Risk_Dirty[[#This Row],[Borrower_Credit_Score]]&lt;=850),Banking_Credit_Risk_Dirty[[#This Row],[Borrower_Credit_Score]],"")</f>
        <v>679</v>
      </c>
    </row>
    <row r="122" spans="1:11" x14ac:dyDescent="0.25">
      <c r="A122" s="2" t="s">
        <v>144</v>
      </c>
      <c r="B122" s="2" t="s">
        <v>15</v>
      </c>
      <c r="C122" s="1">
        <v>45790</v>
      </c>
      <c r="D122">
        <v>76434</v>
      </c>
      <c r="E122">
        <v>586</v>
      </c>
      <c r="F122">
        <v>0.47</v>
      </c>
      <c r="G122">
        <v>6</v>
      </c>
      <c r="H122" s="2" t="s">
        <v>27</v>
      </c>
      <c r="I122" s="2" t="s">
        <v>17</v>
      </c>
      <c r="J122">
        <v>15</v>
      </c>
      <c r="K122">
        <f>IF(AND(Banking_Credit_Risk_Dirty[[#This Row],[Borrower_Credit_Score]]&gt;=300,Banking_Credit_Risk_Dirty[[#This Row],[Borrower_Credit_Score]]&lt;=850),Banking_Credit_Risk_Dirty[[#This Row],[Borrower_Credit_Score]],"")</f>
        <v>586</v>
      </c>
    </row>
    <row r="123" spans="1:11" x14ac:dyDescent="0.25">
      <c r="A123" s="2" t="s">
        <v>145</v>
      </c>
      <c r="B123" s="2" t="s">
        <v>15</v>
      </c>
      <c r="C123" s="1">
        <v>45718</v>
      </c>
      <c r="D123">
        <v>41450</v>
      </c>
      <c r="E123">
        <v>578</v>
      </c>
      <c r="F123">
        <v>0.62</v>
      </c>
      <c r="G123">
        <v>4</v>
      </c>
      <c r="H123" s="2" t="s">
        <v>12</v>
      </c>
      <c r="I123" s="2" t="s">
        <v>89</v>
      </c>
      <c r="J123">
        <v>18</v>
      </c>
      <c r="K123">
        <f>IF(AND(Banking_Credit_Risk_Dirty[[#This Row],[Borrower_Credit_Score]]&gt;=300,Banking_Credit_Risk_Dirty[[#This Row],[Borrower_Credit_Score]]&lt;=850),Banking_Credit_Risk_Dirty[[#This Row],[Borrower_Credit_Score]],"")</f>
        <v>578</v>
      </c>
    </row>
    <row r="124" spans="1:11" x14ac:dyDescent="0.25">
      <c r="A124" s="2" t="s">
        <v>146</v>
      </c>
      <c r="B124" s="2" t="s">
        <v>43</v>
      </c>
      <c r="C124" s="1">
        <v>45418</v>
      </c>
      <c r="D124">
        <v>106328</v>
      </c>
      <c r="E124">
        <v>839</v>
      </c>
      <c r="F124">
        <v>0.43</v>
      </c>
      <c r="G124">
        <v>6</v>
      </c>
      <c r="H124" s="2" t="s">
        <v>12</v>
      </c>
      <c r="I124" s="2" t="s">
        <v>17</v>
      </c>
      <c r="J124">
        <v>28</v>
      </c>
      <c r="K124">
        <f>IF(AND(Banking_Credit_Risk_Dirty[[#This Row],[Borrower_Credit_Score]]&gt;=300,Banking_Credit_Risk_Dirty[[#This Row],[Borrower_Credit_Score]]&lt;=850),Banking_Credit_Risk_Dirty[[#This Row],[Borrower_Credit_Score]],"")</f>
        <v>839</v>
      </c>
    </row>
    <row r="125" spans="1:11" x14ac:dyDescent="0.25">
      <c r="A125" s="2" t="s">
        <v>147</v>
      </c>
      <c r="B125" s="2" t="s">
        <v>15</v>
      </c>
      <c r="C125" s="1">
        <v>45673</v>
      </c>
      <c r="D125">
        <v>126209</v>
      </c>
      <c r="E125">
        <v>703</v>
      </c>
      <c r="F125">
        <v>0.56000000000000005</v>
      </c>
      <c r="G125">
        <v>0</v>
      </c>
      <c r="H125" s="2" t="s">
        <v>27</v>
      </c>
      <c r="I125" s="2" t="s">
        <v>23</v>
      </c>
      <c r="J125">
        <v>19</v>
      </c>
      <c r="K125">
        <f>IF(AND(Banking_Credit_Risk_Dirty[[#This Row],[Borrower_Credit_Score]]&gt;=300,Banking_Credit_Risk_Dirty[[#This Row],[Borrower_Credit_Score]]&lt;=850),Banking_Credit_Risk_Dirty[[#This Row],[Borrower_Credit_Score]],"")</f>
        <v>703</v>
      </c>
    </row>
    <row r="126" spans="1:11" x14ac:dyDescent="0.25">
      <c r="A126" s="2" t="s">
        <v>148</v>
      </c>
      <c r="B126" s="2" t="s">
        <v>15</v>
      </c>
      <c r="C126" s="1">
        <v>45781</v>
      </c>
      <c r="D126">
        <v>46808</v>
      </c>
      <c r="E126">
        <v>655</v>
      </c>
      <c r="F126">
        <v>0.26</v>
      </c>
      <c r="G126">
        <v>5</v>
      </c>
      <c r="H126" s="2" t="s">
        <v>41</v>
      </c>
      <c r="I126" s="2" t="s">
        <v>23</v>
      </c>
      <c r="J126">
        <v>16</v>
      </c>
      <c r="K126">
        <f>IF(AND(Banking_Credit_Risk_Dirty[[#This Row],[Borrower_Credit_Score]]&gt;=300,Banking_Credit_Risk_Dirty[[#This Row],[Borrower_Credit_Score]]&lt;=850),Banking_Credit_Risk_Dirty[[#This Row],[Borrower_Credit_Score]],"")</f>
        <v>655</v>
      </c>
    </row>
    <row r="127" spans="1:11" x14ac:dyDescent="0.25">
      <c r="A127" s="2" t="s">
        <v>149</v>
      </c>
      <c r="B127" s="2" t="s">
        <v>43</v>
      </c>
      <c r="C127" s="1">
        <v>45760</v>
      </c>
      <c r="D127">
        <v>92730</v>
      </c>
      <c r="E127">
        <v>832</v>
      </c>
      <c r="F127">
        <v>0.62</v>
      </c>
      <c r="G127">
        <v>0</v>
      </c>
      <c r="H127" s="2" t="s">
        <v>12</v>
      </c>
      <c r="I127" s="2" t="s">
        <v>13</v>
      </c>
      <c r="J127">
        <v>16</v>
      </c>
      <c r="K127">
        <f>IF(AND(Banking_Credit_Risk_Dirty[[#This Row],[Borrower_Credit_Score]]&gt;=300,Banking_Credit_Risk_Dirty[[#This Row],[Borrower_Credit_Score]]&lt;=850),Banking_Credit_Risk_Dirty[[#This Row],[Borrower_Credit_Score]],"")</f>
        <v>832</v>
      </c>
    </row>
    <row r="128" spans="1:11" x14ac:dyDescent="0.25">
      <c r="A128" s="2" t="s">
        <v>150</v>
      </c>
      <c r="B128" s="2" t="s">
        <v>15</v>
      </c>
      <c r="C128" s="1">
        <v>45407</v>
      </c>
      <c r="D128">
        <v>146042</v>
      </c>
      <c r="E128">
        <v>533</v>
      </c>
      <c r="F128">
        <v>0.36</v>
      </c>
      <c r="G128">
        <v>0</v>
      </c>
      <c r="H128" s="2" t="s">
        <v>12</v>
      </c>
      <c r="I128" s="2" t="s">
        <v>13</v>
      </c>
      <c r="J128">
        <v>28</v>
      </c>
      <c r="K128">
        <f>IF(AND(Banking_Credit_Risk_Dirty[[#This Row],[Borrower_Credit_Score]]&gt;=300,Banking_Credit_Risk_Dirty[[#This Row],[Borrower_Credit_Score]]&lt;=850),Banking_Credit_Risk_Dirty[[#This Row],[Borrower_Credit_Score]],"")</f>
        <v>533</v>
      </c>
    </row>
    <row r="129" spans="1:11" x14ac:dyDescent="0.25">
      <c r="A129" s="2" t="s">
        <v>151</v>
      </c>
      <c r="B129" s="2" t="s">
        <v>11</v>
      </c>
      <c r="C129" s="1">
        <v>45878</v>
      </c>
      <c r="D129">
        <v>26193</v>
      </c>
      <c r="E129">
        <v>682</v>
      </c>
      <c r="F129">
        <v>0.23</v>
      </c>
      <c r="G129">
        <v>0</v>
      </c>
      <c r="H129" s="2" t="s">
        <v>19</v>
      </c>
      <c r="I129" s="2" t="s">
        <v>13</v>
      </c>
      <c r="J129">
        <v>13</v>
      </c>
      <c r="K129">
        <f>IF(AND(Banking_Credit_Risk_Dirty[[#This Row],[Borrower_Credit_Score]]&gt;=300,Banking_Credit_Risk_Dirty[[#This Row],[Borrower_Credit_Score]]&lt;=850),Banking_Credit_Risk_Dirty[[#This Row],[Borrower_Credit_Score]],"")</f>
        <v>682</v>
      </c>
    </row>
    <row r="130" spans="1:11" x14ac:dyDescent="0.25">
      <c r="A130" s="2" t="s">
        <v>152</v>
      </c>
      <c r="B130" s="2" t="s">
        <v>11</v>
      </c>
      <c r="C130" s="1">
        <v>45948</v>
      </c>
      <c r="D130">
        <v>38433</v>
      </c>
      <c r="E130">
        <v>549</v>
      </c>
      <c r="F130">
        <v>0.24</v>
      </c>
      <c r="G130">
        <v>0</v>
      </c>
      <c r="H130" s="2" t="s">
        <v>41</v>
      </c>
      <c r="I130" s="2" t="s">
        <v>17</v>
      </c>
      <c r="J130">
        <v>10</v>
      </c>
      <c r="K130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131" spans="1:11" x14ac:dyDescent="0.25">
      <c r="A131" s="2" t="s">
        <v>153</v>
      </c>
      <c r="B131" s="2" t="s">
        <v>11</v>
      </c>
      <c r="C131" s="1">
        <v>45756</v>
      </c>
      <c r="D131">
        <v>130282</v>
      </c>
      <c r="E131">
        <v>491</v>
      </c>
      <c r="F131">
        <v>0.56999999999999995</v>
      </c>
      <c r="G131">
        <v>3</v>
      </c>
      <c r="H131" s="2" t="s">
        <v>41</v>
      </c>
      <c r="I131" s="2" t="s">
        <v>89</v>
      </c>
      <c r="J131">
        <v>17</v>
      </c>
      <c r="K131">
        <f>IF(AND(Banking_Credit_Risk_Dirty[[#This Row],[Borrower_Credit_Score]]&gt;=300,Banking_Credit_Risk_Dirty[[#This Row],[Borrower_Credit_Score]]&lt;=850),Banking_Credit_Risk_Dirty[[#This Row],[Borrower_Credit_Score]],"")</f>
        <v>491</v>
      </c>
    </row>
    <row r="132" spans="1:11" x14ac:dyDescent="0.25">
      <c r="A132" s="2" t="s">
        <v>154</v>
      </c>
      <c r="B132" s="2" t="s">
        <v>43</v>
      </c>
      <c r="C132" s="1">
        <v>45958</v>
      </c>
      <c r="D132">
        <v>57007</v>
      </c>
      <c r="E132">
        <v>745</v>
      </c>
      <c r="F132">
        <v>0.6</v>
      </c>
      <c r="G132">
        <v>0</v>
      </c>
      <c r="H132" s="2" t="s">
        <v>19</v>
      </c>
      <c r="I132" s="2" t="s">
        <v>13</v>
      </c>
      <c r="J132">
        <v>10</v>
      </c>
      <c r="K132">
        <f>IF(AND(Banking_Credit_Risk_Dirty[[#This Row],[Borrower_Credit_Score]]&gt;=300,Banking_Credit_Risk_Dirty[[#This Row],[Borrower_Credit_Score]]&lt;=850),Banking_Credit_Risk_Dirty[[#This Row],[Borrower_Credit_Score]],"")</f>
        <v>745</v>
      </c>
    </row>
    <row r="133" spans="1:11" x14ac:dyDescent="0.25">
      <c r="A133" s="2" t="s">
        <v>155</v>
      </c>
      <c r="B133" s="2" t="s">
        <v>43</v>
      </c>
      <c r="C133" s="1">
        <v>45911</v>
      </c>
      <c r="D133">
        <v>137526</v>
      </c>
      <c r="E133">
        <v>740</v>
      </c>
      <c r="F133">
        <v>0.17</v>
      </c>
      <c r="G133">
        <v>3</v>
      </c>
      <c r="H133" s="2" t="s">
        <v>19</v>
      </c>
      <c r="I133" s="2" t="s">
        <v>17</v>
      </c>
      <c r="J133">
        <v>11</v>
      </c>
      <c r="K133">
        <f>IF(AND(Banking_Credit_Risk_Dirty[[#This Row],[Borrower_Credit_Score]]&gt;=300,Banking_Credit_Risk_Dirty[[#This Row],[Borrower_Credit_Score]]&lt;=850),Banking_Credit_Risk_Dirty[[#This Row],[Borrower_Credit_Score]],"")</f>
        <v>740</v>
      </c>
    </row>
    <row r="134" spans="1:11" x14ac:dyDescent="0.25">
      <c r="A134" s="2" t="s">
        <v>156</v>
      </c>
      <c r="B134" s="2" t="s">
        <v>11</v>
      </c>
      <c r="C134" s="1">
        <v>45718</v>
      </c>
      <c r="D134">
        <v>118372</v>
      </c>
      <c r="E134">
        <v>516</v>
      </c>
      <c r="F134">
        <v>0.63</v>
      </c>
      <c r="G134">
        <v>0</v>
      </c>
      <c r="H134" s="2" t="s">
        <v>41</v>
      </c>
      <c r="I134" s="2" t="s">
        <v>13</v>
      </c>
      <c r="J134">
        <v>18</v>
      </c>
      <c r="K134">
        <f>IF(AND(Banking_Credit_Risk_Dirty[[#This Row],[Borrower_Credit_Score]]&gt;=300,Banking_Credit_Risk_Dirty[[#This Row],[Borrower_Credit_Score]]&lt;=850),Banking_Credit_Risk_Dirty[[#This Row],[Borrower_Credit_Score]],"")</f>
        <v>516</v>
      </c>
    </row>
    <row r="135" spans="1:11" x14ac:dyDescent="0.25">
      <c r="A135" s="2" t="s">
        <v>157</v>
      </c>
      <c r="B135" s="2" t="s">
        <v>43</v>
      </c>
      <c r="C135" s="1">
        <v>45956</v>
      </c>
      <c r="D135">
        <v>112202</v>
      </c>
      <c r="E135">
        <v>585</v>
      </c>
      <c r="F135">
        <v>0.22</v>
      </c>
      <c r="G135">
        <v>0</v>
      </c>
      <c r="H135" s="2" t="s">
        <v>27</v>
      </c>
      <c r="I135" s="2" t="s">
        <v>13</v>
      </c>
      <c r="J135">
        <v>10</v>
      </c>
      <c r="K135">
        <f>IF(AND(Banking_Credit_Risk_Dirty[[#This Row],[Borrower_Credit_Score]]&gt;=300,Banking_Credit_Risk_Dirty[[#This Row],[Borrower_Credit_Score]]&lt;=850),Banking_Credit_Risk_Dirty[[#This Row],[Borrower_Credit_Score]],"")</f>
        <v>585</v>
      </c>
    </row>
    <row r="136" spans="1:11" x14ac:dyDescent="0.25">
      <c r="A136" s="2" t="s">
        <v>158</v>
      </c>
      <c r="B136" s="2" t="s">
        <v>21</v>
      </c>
      <c r="C136" s="1">
        <v>45874</v>
      </c>
      <c r="D136">
        <v>108340</v>
      </c>
      <c r="E136">
        <v>588</v>
      </c>
      <c r="F136">
        <v>0.57999999999999996</v>
      </c>
      <c r="G136">
        <v>5</v>
      </c>
      <c r="H136" s="2" t="s">
        <v>19</v>
      </c>
      <c r="I136" s="2" t="s">
        <v>17</v>
      </c>
      <c r="J136">
        <v>13</v>
      </c>
      <c r="K136">
        <f>IF(AND(Banking_Credit_Risk_Dirty[[#This Row],[Borrower_Credit_Score]]&gt;=300,Banking_Credit_Risk_Dirty[[#This Row],[Borrower_Credit_Score]]&lt;=850),Banking_Credit_Risk_Dirty[[#This Row],[Borrower_Credit_Score]],"")</f>
        <v>588</v>
      </c>
    </row>
    <row r="137" spans="1:11" x14ac:dyDescent="0.25">
      <c r="A137" s="2" t="s">
        <v>159</v>
      </c>
      <c r="B137" s="2" t="s">
        <v>15</v>
      </c>
      <c r="C137" s="1">
        <v>45601</v>
      </c>
      <c r="D137">
        <v>83726</v>
      </c>
      <c r="E137">
        <v>633</v>
      </c>
      <c r="F137">
        <v>0.47</v>
      </c>
      <c r="G137">
        <v>0</v>
      </c>
      <c r="H137" s="2" t="s">
        <v>41</v>
      </c>
      <c r="I137" s="2" t="s">
        <v>13</v>
      </c>
      <c r="J137">
        <v>22</v>
      </c>
      <c r="K137">
        <f>IF(AND(Banking_Credit_Risk_Dirty[[#This Row],[Borrower_Credit_Score]]&gt;=300,Banking_Credit_Risk_Dirty[[#This Row],[Borrower_Credit_Score]]&lt;=850),Banking_Credit_Risk_Dirty[[#This Row],[Borrower_Credit_Score]],"")</f>
        <v>633</v>
      </c>
    </row>
    <row r="138" spans="1:11" x14ac:dyDescent="0.25">
      <c r="A138" s="2" t="s">
        <v>160</v>
      </c>
      <c r="B138" s="2" t="s">
        <v>11</v>
      </c>
      <c r="C138" s="1">
        <v>45433</v>
      </c>
      <c r="D138">
        <v>65955</v>
      </c>
      <c r="E138">
        <v>506</v>
      </c>
      <c r="F138">
        <v>0.52</v>
      </c>
      <c r="G138">
        <v>5</v>
      </c>
      <c r="H138" s="2" t="s">
        <v>16</v>
      </c>
      <c r="I138" s="2" t="s">
        <v>89</v>
      </c>
      <c r="J138">
        <v>27</v>
      </c>
      <c r="K138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139" spans="1:11" x14ac:dyDescent="0.25">
      <c r="A139" s="2" t="s">
        <v>161</v>
      </c>
      <c r="B139" s="2" t="s">
        <v>21</v>
      </c>
      <c r="C139" s="1">
        <v>45772</v>
      </c>
      <c r="D139">
        <v>44916</v>
      </c>
      <c r="E139">
        <v>481</v>
      </c>
      <c r="F139">
        <v>0.35</v>
      </c>
      <c r="G139">
        <v>0</v>
      </c>
      <c r="H139" s="2" t="s">
        <v>27</v>
      </c>
      <c r="I139" s="2" t="s">
        <v>13</v>
      </c>
      <c r="J139">
        <v>16</v>
      </c>
      <c r="K139">
        <f>IF(AND(Banking_Credit_Risk_Dirty[[#This Row],[Borrower_Credit_Score]]&gt;=300,Banking_Credit_Risk_Dirty[[#This Row],[Borrower_Credit_Score]]&lt;=850),Banking_Credit_Risk_Dirty[[#This Row],[Borrower_Credit_Score]],"")</f>
        <v>481</v>
      </c>
    </row>
    <row r="140" spans="1:11" x14ac:dyDescent="0.25">
      <c r="A140" s="2" t="s">
        <v>162</v>
      </c>
      <c r="B140" s="2" t="s">
        <v>15</v>
      </c>
      <c r="C140" s="1">
        <v>45639</v>
      </c>
      <c r="D140">
        <v>22907</v>
      </c>
      <c r="E140">
        <v>599</v>
      </c>
      <c r="F140">
        <v>0.51</v>
      </c>
      <c r="G140">
        <v>3</v>
      </c>
      <c r="H140" s="2" t="s">
        <v>16</v>
      </c>
      <c r="I140" s="2" t="s">
        <v>17</v>
      </c>
      <c r="J140">
        <v>20</v>
      </c>
      <c r="K140">
        <f>IF(AND(Banking_Credit_Risk_Dirty[[#This Row],[Borrower_Credit_Score]]&gt;=300,Banking_Credit_Risk_Dirty[[#This Row],[Borrower_Credit_Score]]&lt;=850),Banking_Credit_Risk_Dirty[[#This Row],[Borrower_Credit_Score]],"")</f>
        <v>599</v>
      </c>
    </row>
    <row r="141" spans="1:11" x14ac:dyDescent="0.25">
      <c r="A141" s="2" t="s">
        <v>163</v>
      </c>
      <c r="B141" s="2" t="s">
        <v>15</v>
      </c>
      <c r="C141" s="1">
        <v>45576</v>
      </c>
      <c r="D141">
        <v>117491</v>
      </c>
      <c r="E141">
        <v>775</v>
      </c>
      <c r="F141">
        <v>0.41</v>
      </c>
      <c r="G141">
        <v>5</v>
      </c>
      <c r="H141" s="2" t="s">
        <v>19</v>
      </c>
      <c r="I141" s="2" t="s">
        <v>17</v>
      </c>
      <c r="J141">
        <v>22</v>
      </c>
      <c r="K141">
        <f>IF(AND(Banking_Credit_Risk_Dirty[[#This Row],[Borrower_Credit_Score]]&gt;=300,Banking_Credit_Risk_Dirty[[#This Row],[Borrower_Credit_Score]]&lt;=850),Banking_Credit_Risk_Dirty[[#This Row],[Borrower_Credit_Score]],"")</f>
        <v>775</v>
      </c>
    </row>
    <row r="142" spans="1:11" x14ac:dyDescent="0.25">
      <c r="A142" s="2" t="s">
        <v>164</v>
      </c>
      <c r="B142" s="2" t="s">
        <v>11</v>
      </c>
      <c r="C142" s="1">
        <v>45467</v>
      </c>
      <c r="D142">
        <v>103909</v>
      </c>
      <c r="E142">
        <v>524</v>
      </c>
      <c r="F142">
        <v>0.33</v>
      </c>
      <c r="G142">
        <v>4</v>
      </c>
      <c r="H142" s="2" t="s">
        <v>19</v>
      </c>
      <c r="I142" s="2" t="s">
        <v>17</v>
      </c>
      <c r="J142">
        <v>26</v>
      </c>
      <c r="K142">
        <f>IF(AND(Banking_Credit_Risk_Dirty[[#This Row],[Borrower_Credit_Score]]&gt;=300,Banking_Credit_Risk_Dirty[[#This Row],[Borrower_Credit_Score]]&lt;=850),Banking_Credit_Risk_Dirty[[#This Row],[Borrower_Credit_Score]],"")</f>
        <v>524</v>
      </c>
    </row>
    <row r="143" spans="1:11" x14ac:dyDescent="0.25">
      <c r="A143" s="2" t="s">
        <v>165</v>
      </c>
      <c r="B143" s="2" t="s">
        <v>11</v>
      </c>
      <c r="C143" s="1">
        <v>45538</v>
      </c>
      <c r="D143">
        <v>47517</v>
      </c>
      <c r="E143">
        <v>623</v>
      </c>
      <c r="F143">
        <v>0.41</v>
      </c>
      <c r="G143">
        <v>5</v>
      </c>
      <c r="H143" s="2" t="s">
        <v>27</v>
      </c>
      <c r="I143" s="2" t="s">
        <v>17</v>
      </c>
      <c r="J143">
        <v>24</v>
      </c>
      <c r="K143">
        <f>IF(AND(Banking_Credit_Risk_Dirty[[#This Row],[Borrower_Credit_Score]]&gt;=300,Banking_Credit_Risk_Dirty[[#This Row],[Borrower_Credit_Score]]&lt;=850),Banking_Credit_Risk_Dirty[[#This Row],[Borrower_Credit_Score]],"")</f>
        <v>623</v>
      </c>
    </row>
    <row r="144" spans="1:11" x14ac:dyDescent="0.25">
      <c r="A144" s="2" t="s">
        <v>166</v>
      </c>
      <c r="B144" s="2" t="s">
        <v>11</v>
      </c>
      <c r="C144" s="1">
        <v>45578</v>
      </c>
      <c r="D144">
        <v>109867</v>
      </c>
      <c r="E144">
        <v>610</v>
      </c>
      <c r="F144">
        <v>0.42</v>
      </c>
      <c r="G144">
        <v>0</v>
      </c>
      <c r="H144" s="2" t="s">
        <v>27</v>
      </c>
      <c r="I144" s="2" t="s">
        <v>13</v>
      </c>
      <c r="J144">
        <v>22</v>
      </c>
      <c r="K144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145" spans="1:11" x14ac:dyDescent="0.25">
      <c r="A145" s="2" t="s">
        <v>167</v>
      </c>
      <c r="B145" s="2" t="s">
        <v>21</v>
      </c>
      <c r="C145" s="1">
        <v>45861</v>
      </c>
      <c r="D145">
        <v>125747</v>
      </c>
      <c r="E145">
        <v>630</v>
      </c>
      <c r="F145">
        <v>0.61</v>
      </c>
      <c r="G145">
        <v>0</v>
      </c>
      <c r="H145" s="2" t="s">
        <v>12</v>
      </c>
      <c r="I145" s="2" t="s">
        <v>13</v>
      </c>
      <c r="J145">
        <v>13</v>
      </c>
      <c r="K145">
        <f>IF(AND(Banking_Credit_Risk_Dirty[[#This Row],[Borrower_Credit_Score]]&gt;=300,Banking_Credit_Risk_Dirty[[#This Row],[Borrower_Credit_Score]]&lt;=850),Banking_Credit_Risk_Dirty[[#This Row],[Borrower_Credit_Score]],"")</f>
        <v>630</v>
      </c>
    </row>
    <row r="146" spans="1:11" x14ac:dyDescent="0.25">
      <c r="A146" s="2" t="s">
        <v>168</v>
      </c>
      <c r="B146" s="2" t="s">
        <v>15</v>
      </c>
      <c r="C146" s="1">
        <v>45815</v>
      </c>
      <c r="D146">
        <v>32903</v>
      </c>
      <c r="E146">
        <v>615</v>
      </c>
      <c r="F146">
        <v>0.23</v>
      </c>
      <c r="G146">
        <v>0</v>
      </c>
      <c r="H146" s="2" t="s">
        <v>19</v>
      </c>
      <c r="I146" s="2" t="s">
        <v>13</v>
      </c>
      <c r="J146">
        <v>15</v>
      </c>
      <c r="K146">
        <f>IF(AND(Banking_Credit_Risk_Dirty[[#This Row],[Borrower_Credit_Score]]&gt;=300,Banking_Credit_Risk_Dirty[[#This Row],[Borrower_Credit_Score]]&lt;=850),Banking_Credit_Risk_Dirty[[#This Row],[Borrower_Credit_Score]],"")</f>
        <v>615</v>
      </c>
    </row>
    <row r="147" spans="1:11" x14ac:dyDescent="0.25">
      <c r="A147" s="2" t="s">
        <v>169</v>
      </c>
      <c r="B147" s="2" t="s">
        <v>15</v>
      </c>
      <c r="C147" s="1">
        <v>45429</v>
      </c>
      <c r="D147">
        <v>96705</v>
      </c>
      <c r="E147">
        <v>837</v>
      </c>
      <c r="F147">
        <v>0.24</v>
      </c>
      <c r="G147">
        <v>4</v>
      </c>
      <c r="H147" s="2" t="s">
        <v>22</v>
      </c>
      <c r="I147" s="2" t="s">
        <v>23</v>
      </c>
      <c r="J147">
        <v>27</v>
      </c>
      <c r="K147">
        <f>IF(AND(Banking_Credit_Risk_Dirty[[#This Row],[Borrower_Credit_Score]]&gt;=300,Banking_Credit_Risk_Dirty[[#This Row],[Borrower_Credit_Score]]&lt;=850),Banking_Credit_Risk_Dirty[[#This Row],[Borrower_Credit_Score]],"")</f>
        <v>837</v>
      </c>
    </row>
    <row r="148" spans="1:11" x14ac:dyDescent="0.25">
      <c r="A148" s="2" t="s">
        <v>170</v>
      </c>
      <c r="B148" s="2" t="s">
        <v>21</v>
      </c>
      <c r="C148" s="1">
        <v>45988</v>
      </c>
      <c r="D148">
        <v>6474</v>
      </c>
      <c r="E148">
        <v>755</v>
      </c>
      <c r="F148">
        <v>0.63</v>
      </c>
      <c r="G148">
        <v>3</v>
      </c>
      <c r="H148" s="2" t="s">
        <v>12</v>
      </c>
      <c r="I148" s="2" t="s">
        <v>17</v>
      </c>
      <c r="J148">
        <v>9</v>
      </c>
      <c r="K148">
        <f>IF(AND(Banking_Credit_Risk_Dirty[[#This Row],[Borrower_Credit_Score]]&gt;=300,Banking_Credit_Risk_Dirty[[#This Row],[Borrower_Credit_Score]]&lt;=850),Banking_Credit_Risk_Dirty[[#This Row],[Borrower_Credit_Score]],"")</f>
        <v>755</v>
      </c>
    </row>
    <row r="149" spans="1:11" x14ac:dyDescent="0.25">
      <c r="A149" s="2" t="s">
        <v>171</v>
      </c>
      <c r="B149" s="2" t="s">
        <v>21</v>
      </c>
      <c r="C149" s="1">
        <v>45969</v>
      </c>
      <c r="D149">
        <v>102637</v>
      </c>
      <c r="E149">
        <v>737</v>
      </c>
      <c r="F149">
        <v>0.2</v>
      </c>
      <c r="G149">
        <v>4</v>
      </c>
      <c r="H149" s="2" t="s">
        <v>19</v>
      </c>
      <c r="I149" s="2" t="s">
        <v>23</v>
      </c>
      <c r="J149">
        <v>10</v>
      </c>
      <c r="K149">
        <f>IF(AND(Banking_Credit_Risk_Dirty[[#This Row],[Borrower_Credit_Score]]&gt;=300,Banking_Credit_Risk_Dirty[[#This Row],[Borrower_Credit_Score]]&lt;=850),Banking_Credit_Risk_Dirty[[#This Row],[Borrower_Credit_Score]],"")</f>
        <v>737</v>
      </c>
    </row>
    <row r="150" spans="1:11" x14ac:dyDescent="0.25">
      <c r="A150" s="2" t="s">
        <v>172</v>
      </c>
      <c r="B150" s="2" t="s">
        <v>15</v>
      </c>
      <c r="C150" s="1">
        <v>45496</v>
      </c>
      <c r="D150">
        <v>43012</v>
      </c>
      <c r="E150">
        <v>767</v>
      </c>
      <c r="F150">
        <v>0.57999999999999996</v>
      </c>
      <c r="G150">
        <v>4</v>
      </c>
      <c r="H150" s="2" t="s">
        <v>16</v>
      </c>
      <c r="I150" s="2" t="s">
        <v>17</v>
      </c>
      <c r="J150">
        <v>25</v>
      </c>
      <c r="K150">
        <f>IF(AND(Banking_Credit_Risk_Dirty[[#This Row],[Borrower_Credit_Score]]&gt;=300,Banking_Credit_Risk_Dirty[[#This Row],[Borrower_Credit_Score]]&lt;=850),Banking_Credit_Risk_Dirty[[#This Row],[Borrower_Credit_Score]],"")</f>
        <v>767</v>
      </c>
    </row>
    <row r="151" spans="1:11" x14ac:dyDescent="0.25">
      <c r="A151" s="2" t="s">
        <v>173</v>
      </c>
      <c r="B151" s="2" t="s">
        <v>15</v>
      </c>
      <c r="C151" s="1">
        <v>45342</v>
      </c>
      <c r="D151">
        <v>102186</v>
      </c>
      <c r="E151">
        <v>539</v>
      </c>
      <c r="F151">
        <v>0.16</v>
      </c>
      <c r="G151">
        <v>4</v>
      </c>
      <c r="H151" s="2" t="s">
        <v>12</v>
      </c>
      <c r="I151" s="2" t="s">
        <v>23</v>
      </c>
      <c r="J151">
        <v>30</v>
      </c>
      <c r="K151">
        <f>IF(AND(Banking_Credit_Risk_Dirty[[#This Row],[Borrower_Credit_Score]]&gt;=300,Banking_Credit_Risk_Dirty[[#This Row],[Borrower_Credit_Score]]&lt;=850),Banking_Credit_Risk_Dirty[[#This Row],[Borrower_Credit_Score]],"")</f>
        <v>539</v>
      </c>
    </row>
    <row r="152" spans="1:11" x14ac:dyDescent="0.25">
      <c r="A152" s="2" t="s">
        <v>174</v>
      </c>
      <c r="B152" s="2" t="s">
        <v>11</v>
      </c>
      <c r="C152" s="1">
        <v>45822</v>
      </c>
      <c r="D152">
        <v>77865</v>
      </c>
      <c r="E152">
        <v>779</v>
      </c>
      <c r="F152">
        <v>0.53</v>
      </c>
      <c r="G152">
        <v>0</v>
      </c>
      <c r="H152" s="2" t="s">
        <v>19</v>
      </c>
      <c r="I152" s="2" t="s">
        <v>13</v>
      </c>
      <c r="J152">
        <v>14</v>
      </c>
      <c r="K152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153" spans="1:11" x14ac:dyDescent="0.25">
      <c r="A153" s="2" t="s">
        <v>175</v>
      </c>
      <c r="B153" s="2" t="s">
        <v>21</v>
      </c>
      <c r="C153" s="1">
        <v>45625</v>
      </c>
      <c r="D153">
        <v>119329</v>
      </c>
      <c r="E153">
        <v>702</v>
      </c>
      <c r="F153">
        <v>0.28000000000000003</v>
      </c>
      <c r="G153">
        <v>3</v>
      </c>
      <c r="H153" s="2" t="s">
        <v>19</v>
      </c>
      <c r="I153" s="2" t="s">
        <v>23</v>
      </c>
      <c r="J153">
        <v>21</v>
      </c>
      <c r="K153">
        <f>IF(AND(Banking_Credit_Risk_Dirty[[#This Row],[Borrower_Credit_Score]]&gt;=300,Banking_Credit_Risk_Dirty[[#This Row],[Borrower_Credit_Score]]&lt;=850),Banking_Credit_Risk_Dirty[[#This Row],[Borrower_Credit_Score]],"")</f>
        <v>702</v>
      </c>
    </row>
    <row r="154" spans="1:11" x14ac:dyDescent="0.25">
      <c r="A154" s="2" t="s">
        <v>176</v>
      </c>
      <c r="B154" s="2" t="s">
        <v>11</v>
      </c>
      <c r="C154" s="1">
        <v>45469</v>
      </c>
      <c r="D154">
        <v>37902</v>
      </c>
      <c r="E154">
        <v>791</v>
      </c>
      <c r="F154">
        <v>0.44</v>
      </c>
      <c r="G154">
        <v>2</v>
      </c>
      <c r="H154" s="2" t="s">
        <v>41</v>
      </c>
      <c r="I154" s="2" t="s">
        <v>23</v>
      </c>
      <c r="J154">
        <v>26</v>
      </c>
      <c r="K154">
        <f>IF(AND(Banking_Credit_Risk_Dirty[[#This Row],[Borrower_Credit_Score]]&gt;=300,Banking_Credit_Risk_Dirty[[#This Row],[Borrower_Credit_Score]]&lt;=850),Banking_Credit_Risk_Dirty[[#This Row],[Borrower_Credit_Score]],"")</f>
        <v>791</v>
      </c>
    </row>
    <row r="155" spans="1:11" x14ac:dyDescent="0.25">
      <c r="A155" s="2" t="s">
        <v>177</v>
      </c>
      <c r="B155" s="2" t="s">
        <v>15</v>
      </c>
      <c r="C155" s="1">
        <v>45709</v>
      </c>
      <c r="D155">
        <v>87024</v>
      </c>
      <c r="E155">
        <v>832</v>
      </c>
      <c r="F155">
        <v>0.64</v>
      </c>
      <c r="G155">
        <v>0</v>
      </c>
      <c r="H155" s="2" t="s">
        <v>12</v>
      </c>
      <c r="I155" s="2" t="s">
        <v>13</v>
      </c>
      <c r="J155">
        <v>18</v>
      </c>
      <c r="K155">
        <f>IF(AND(Banking_Credit_Risk_Dirty[[#This Row],[Borrower_Credit_Score]]&gt;=300,Banking_Credit_Risk_Dirty[[#This Row],[Borrower_Credit_Score]]&lt;=850),Banking_Credit_Risk_Dirty[[#This Row],[Borrower_Credit_Score]],"")</f>
        <v>832</v>
      </c>
    </row>
    <row r="156" spans="1:11" x14ac:dyDescent="0.25">
      <c r="A156" s="2" t="s">
        <v>178</v>
      </c>
      <c r="B156" s="2" t="s">
        <v>11</v>
      </c>
      <c r="C156" s="1">
        <v>45650</v>
      </c>
      <c r="D156">
        <v>123286</v>
      </c>
      <c r="E156">
        <v>830</v>
      </c>
      <c r="F156">
        <v>0.5</v>
      </c>
      <c r="G156">
        <v>2</v>
      </c>
      <c r="H156" s="2" t="s">
        <v>19</v>
      </c>
      <c r="I156" s="2" t="s">
        <v>23</v>
      </c>
      <c r="J156">
        <v>20</v>
      </c>
      <c r="K156">
        <f>IF(AND(Banking_Credit_Risk_Dirty[[#This Row],[Borrower_Credit_Score]]&gt;=300,Banking_Credit_Risk_Dirty[[#This Row],[Borrower_Credit_Score]]&lt;=850),Banking_Credit_Risk_Dirty[[#This Row],[Borrower_Credit_Score]],"")</f>
        <v>830</v>
      </c>
    </row>
    <row r="157" spans="1:11" x14ac:dyDescent="0.25">
      <c r="A157" s="2" t="s">
        <v>179</v>
      </c>
      <c r="B157" s="2" t="s">
        <v>15</v>
      </c>
      <c r="C157" s="1">
        <v>45833</v>
      </c>
      <c r="D157">
        <v>137701</v>
      </c>
      <c r="E157">
        <v>700</v>
      </c>
      <c r="F157">
        <v>0.49</v>
      </c>
      <c r="G157">
        <v>0</v>
      </c>
      <c r="H157" s="2" t="s">
        <v>12</v>
      </c>
      <c r="I157" s="2" t="s">
        <v>13</v>
      </c>
      <c r="J157">
        <v>14</v>
      </c>
      <c r="K157">
        <f>IF(AND(Banking_Credit_Risk_Dirty[[#This Row],[Borrower_Credit_Score]]&gt;=300,Banking_Credit_Risk_Dirty[[#This Row],[Borrower_Credit_Score]]&lt;=850),Banking_Credit_Risk_Dirty[[#This Row],[Borrower_Credit_Score]],"")</f>
        <v>700</v>
      </c>
    </row>
    <row r="158" spans="1:11" x14ac:dyDescent="0.25">
      <c r="A158" s="2" t="s">
        <v>180</v>
      </c>
      <c r="B158" s="2" t="s">
        <v>43</v>
      </c>
      <c r="C158" s="1">
        <v>45840</v>
      </c>
      <c r="D158">
        <v>61309</v>
      </c>
      <c r="E158">
        <v>708</v>
      </c>
      <c r="F158">
        <v>0.28999999999999998</v>
      </c>
      <c r="G158">
        <v>0</v>
      </c>
      <c r="H158" s="2" t="s">
        <v>41</v>
      </c>
      <c r="I158" s="2" t="s">
        <v>13</v>
      </c>
      <c r="J158">
        <v>14</v>
      </c>
      <c r="K158">
        <f>IF(AND(Banking_Credit_Risk_Dirty[[#This Row],[Borrower_Credit_Score]]&gt;=300,Banking_Credit_Risk_Dirty[[#This Row],[Borrower_Credit_Score]]&lt;=850),Banking_Credit_Risk_Dirty[[#This Row],[Borrower_Credit_Score]],"")</f>
        <v>708</v>
      </c>
    </row>
    <row r="159" spans="1:11" x14ac:dyDescent="0.25">
      <c r="A159" s="2" t="s">
        <v>181</v>
      </c>
      <c r="B159" s="2" t="s">
        <v>21</v>
      </c>
      <c r="C159" s="1">
        <v>45768</v>
      </c>
      <c r="D159">
        <v>118064</v>
      </c>
      <c r="E159">
        <v>847</v>
      </c>
      <c r="F159">
        <v>0.53</v>
      </c>
      <c r="G159">
        <v>0</v>
      </c>
      <c r="H159" s="2" t="s">
        <v>16</v>
      </c>
      <c r="I159" s="2" t="s">
        <v>13</v>
      </c>
      <c r="J159">
        <v>16</v>
      </c>
      <c r="K159">
        <f>IF(AND(Banking_Credit_Risk_Dirty[[#This Row],[Borrower_Credit_Score]]&gt;=300,Banking_Credit_Risk_Dirty[[#This Row],[Borrower_Credit_Score]]&lt;=850),Banking_Credit_Risk_Dirty[[#This Row],[Borrower_Credit_Score]],"")</f>
        <v>847</v>
      </c>
    </row>
    <row r="160" spans="1:11" x14ac:dyDescent="0.25">
      <c r="A160" s="2" t="s">
        <v>182</v>
      </c>
      <c r="B160" s="2" t="s">
        <v>15</v>
      </c>
      <c r="C160" s="1">
        <v>45409</v>
      </c>
      <c r="D160">
        <v>43410</v>
      </c>
      <c r="E160">
        <v>785</v>
      </c>
      <c r="F160">
        <v>0.49</v>
      </c>
      <c r="G160">
        <v>0</v>
      </c>
      <c r="H160" s="2" t="s">
        <v>12</v>
      </c>
      <c r="I160" s="2" t="s">
        <v>13</v>
      </c>
      <c r="J160">
        <v>28</v>
      </c>
      <c r="K160">
        <f>IF(AND(Banking_Credit_Risk_Dirty[[#This Row],[Borrower_Credit_Score]]&gt;=300,Banking_Credit_Risk_Dirty[[#This Row],[Borrower_Credit_Score]]&lt;=850),Banking_Credit_Risk_Dirty[[#This Row],[Borrower_Credit_Score]],"")</f>
        <v>785</v>
      </c>
    </row>
    <row r="161" spans="1:11" x14ac:dyDescent="0.25">
      <c r="A161" s="2" t="s">
        <v>183</v>
      </c>
      <c r="B161" s="2" t="s">
        <v>43</v>
      </c>
      <c r="C161" s="1">
        <v>45553</v>
      </c>
      <c r="D161">
        <v>68484</v>
      </c>
      <c r="E161">
        <v>452</v>
      </c>
      <c r="F161">
        <v>0.49</v>
      </c>
      <c r="G161">
        <v>2</v>
      </c>
      <c r="H161" s="2" t="s">
        <v>16</v>
      </c>
      <c r="I161" s="2" t="s">
        <v>23</v>
      </c>
      <c r="J161">
        <v>23</v>
      </c>
      <c r="K161">
        <f>IF(AND(Banking_Credit_Risk_Dirty[[#This Row],[Borrower_Credit_Score]]&gt;=300,Banking_Credit_Risk_Dirty[[#This Row],[Borrower_Credit_Score]]&lt;=850),Banking_Credit_Risk_Dirty[[#This Row],[Borrower_Credit_Score]],"")</f>
        <v>452</v>
      </c>
    </row>
    <row r="162" spans="1:11" x14ac:dyDescent="0.25">
      <c r="A162" s="2" t="s">
        <v>184</v>
      </c>
      <c r="B162" s="2" t="s">
        <v>21</v>
      </c>
      <c r="C162" s="1">
        <v>45496</v>
      </c>
      <c r="D162">
        <v>55458</v>
      </c>
      <c r="E162">
        <v>697</v>
      </c>
      <c r="F162">
        <v>0.17</v>
      </c>
      <c r="G162">
        <v>0</v>
      </c>
      <c r="H162" s="2" t="s">
        <v>16</v>
      </c>
      <c r="I162" s="2" t="s">
        <v>13</v>
      </c>
      <c r="J162">
        <v>25</v>
      </c>
      <c r="K162">
        <f>IF(AND(Banking_Credit_Risk_Dirty[[#This Row],[Borrower_Credit_Score]]&gt;=300,Banking_Credit_Risk_Dirty[[#This Row],[Borrower_Credit_Score]]&lt;=850),Banking_Credit_Risk_Dirty[[#This Row],[Borrower_Credit_Score]],"")</f>
        <v>697</v>
      </c>
    </row>
    <row r="163" spans="1:11" x14ac:dyDescent="0.25">
      <c r="A163" s="2" t="s">
        <v>185</v>
      </c>
      <c r="B163" s="2" t="s">
        <v>21</v>
      </c>
      <c r="C163" s="1">
        <v>45798</v>
      </c>
      <c r="D163">
        <v>12245</v>
      </c>
      <c r="E163">
        <v>658</v>
      </c>
      <c r="F163">
        <v>0.36</v>
      </c>
      <c r="G163">
        <v>0</v>
      </c>
      <c r="H163" s="2" t="s">
        <v>22</v>
      </c>
      <c r="I163" s="2" t="s">
        <v>13</v>
      </c>
      <c r="J163">
        <v>15</v>
      </c>
      <c r="K163">
        <f>IF(AND(Banking_Credit_Risk_Dirty[[#This Row],[Borrower_Credit_Score]]&gt;=300,Banking_Credit_Risk_Dirty[[#This Row],[Borrower_Credit_Score]]&lt;=850),Banking_Credit_Risk_Dirty[[#This Row],[Borrower_Credit_Score]],"")</f>
        <v>658</v>
      </c>
    </row>
    <row r="164" spans="1:11" x14ac:dyDescent="0.25">
      <c r="A164" s="2" t="s">
        <v>186</v>
      </c>
      <c r="B164" s="2" t="s">
        <v>11</v>
      </c>
      <c r="C164" s="1">
        <v>45705</v>
      </c>
      <c r="D164">
        <v>109825</v>
      </c>
      <c r="E164">
        <v>474</v>
      </c>
      <c r="F164">
        <v>0.46</v>
      </c>
      <c r="G164">
        <v>1</v>
      </c>
      <c r="H164" s="2" t="s">
        <v>19</v>
      </c>
      <c r="I164" s="2" t="s">
        <v>89</v>
      </c>
      <c r="J164">
        <v>18</v>
      </c>
      <c r="K164">
        <f>IF(AND(Banking_Credit_Risk_Dirty[[#This Row],[Borrower_Credit_Score]]&gt;=300,Banking_Credit_Risk_Dirty[[#This Row],[Borrower_Credit_Score]]&lt;=850),Banking_Credit_Risk_Dirty[[#This Row],[Borrower_Credit_Score]],"")</f>
        <v>474</v>
      </c>
    </row>
    <row r="165" spans="1:11" x14ac:dyDescent="0.25">
      <c r="A165" s="2" t="s">
        <v>187</v>
      </c>
      <c r="B165" s="2" t="s">
        <v>15</v>
      </c>
      <c r="C165" s="1">
        <v>45421</v>
      </c>
      <c r="D165">
        <v>29616</v>
      </c>
      <c r="E165">
        <v>564</v>
      </c>
      <c r="F165">
        <v>0.18</v>
      </c>
      <c r="G165">
        <v>3</v>
      </c>
      <c r="H165" s="2" t="s">
        <v>27</v>
      </c>
      <c r="I165" s="2" t="s">
        <v>23</v>
      </c>
      <c r="J165">
        <v>28</v>
      </c>
      <c r="K165">
        <f>IF(AND(Banking_Credit_Risk_Dirty[[#This Row],[Borrower_Credit_Score]]&gt;=300,Banking_Credit_Risk_Dirty[[#This Row],[Borrower_Credit_Score]]&lt;=850),Banking_Credit_Risk_Dirty[[#This Row],[Borrower_Credit_Score]],"")</f>
        <v>564</v>
      </c>
    </row>
    <row r="166" spans="1:11" x14ac:dyDescent="0.25">
      <c r="A166" s="2" t="s">
        <v>188</v>
      </c>
      <c r="B166" s="2" t="s">
        <v>21</v>
      </c>
      <c r="C166" s="1">
        <v>45552</v>
      </c>
      <c r="D166">
        <v>103904</v>
      </c>
      <c r="E166">
        <v>742</v>
      </c>
      <c r="F166">
        <v>0.27</v>
      </c>
      <c r="G166">
        <v>0</v>
      </c>
      <c r="H166" s="2" t="s">
        <v>19</v>
      </c>
      <c r="I166" s="2" t="s">
        <v>13</v>
      </c>
      <c r="J166">
        <v>23</v>
      </c>
      <c r="K166">
        <f>IF(AND(Banking_Credit_Risk_Dirty[[#This Row],[Borrower_Credit_Score]]&gt;=300,Banking_Credit_Risk_Dirty[[#This Row],[Borrower_Credit_Score]]&lt;=850),Banking_Credit_Risk_Dirty[[#This Row],[Borrower_Credit_Score]],"")</f>
        <v>742</v>
      </c>
    </row>
    <row r="167" spans="1:11" x14ac:dyDescent="0.25">
      <c r="A167" s="2" t="s">
        <v>189</v>
      </c>
      <c r="B167" s="2" t="s">
        <v>15</v>
      </c>
      <c r="C167" s="1">
        <v>45972</v>
      </c>
      <c r="D167">
        <v>54090</v>
      </c>
      <c r="E167">
        <v>823</v>
      </c>
      <c r="F167">
        <v>0.32</v>
      </c>
      <c r="G167">
        <v>1</v>
      </c>
      <c r="H167" s="2" t="s">
        <v>12</v>
      </c>
      <c r="I167" s="2" t="s">
        <v>23</v>
      </c>
      <c r="J167">
        <v>9</v>
      </c>
      <c r="K167">
        <f>IF(AND(Banking_Credit_Risk_Dirty[[#This Row],[Borrower_Credit_Score]]&gt;=300,Banking_Credit_Risk_Dirty[[#This Row],[Borrower_Credit_Score]]&lt;=850),Banking_Credit_Risk_Dirty[[#This Row],[Borrower_Credit_Score]],"")</f>
        <v>823</v>
      </c>
    </row>
    <row r="168" spans="1:11" x14ac:dyDescent="0.25">
      <c r="A168" s="2" t="s">
        <v>190</v>
      </c>
      <c r="B168" s="2" t="s">
        <v>21</v>
      </c>
      <c r="C168" s="1">
        <v>45826</v>
      </c>
      <c r="D168">
        <v>90056</v>
      </c>
      <c r="E168">
        <v>560</v>
      </c>
      <c r="F168">
        <v>0.55000000000000004</v>
      </c>
      <c r="G168">
        <v>0</v>
      </c>
      <c r="H168" s="2" t="s">
        <v>12</v>
      </c>
      <c r="I168" s="2" t="s">
        <v>13</v>
      </c>
      <c r="J168">
        <v>14</v>
      </c>
      <c r="K168">
        <f>IF(AND(Banking_Credit_Risk_Dirty[[#This Row],[Borrower_Credit_Score]]&gt;=300,Banking_Credit_Risk_Dirty[[#This Row],[Borrower_Credit_Score]]&lt;=850),Banking_Credit_Risk_Dirty[[#This Row],[Borrower_Credit_Score]],"")</f>
        <v>560</v>
      </c>
    </row>
    <row r="169" spans="1:11" x14ac:dyDescent="0.25">
      <c r="A169" s="2" t="s">
        <v>191</v>
      </c>
      <c r="B169" s="2" t="s">
        <v>11</v>
      </c>
      <c r="C169" s="1">
        <v>45982</v>
      </c>
      <c r="D169">
        <v>63856</v>
      </c>
      <c r="E169">
        <v>579</v>
      </c>
      <c r="F169">
        <v>0.48</v>
      </c>
      <c r="G169">
        <v>6</v>
      </c>
      <c r="H169" s="2" t="s">
        <v>22</v>
      </c>
      <c r="I169" s="2" t="s">
        <v>89</v>
      </c>
      <c r="J169">
        <v>9</v>
      </c>
      <c r="K169">
        <f>IF(AND(Banking_Credit_Risk_Dirty[[#This Row],[Borrower_Credit_Score]]&gt;=300,Banking_Credit_Risk_Dirty[[#This Row],[Borrower_Credit_Score]]&lt;=850),Banking_Credit_Risk_Dirty[[#This Row],[Borrower_Credit_Score]],"")</f>
        <v>579</v>
      </c>
    </row>
    <row r="170" spans="1:11" x14ac:dyDescent="0.25">
      <c r="A170" s="2" t="s">
        <v>192</v>
      </c>
      <c r="B170" s="2" t="s">
        <v>15</v>
      </c>
      <c r="C170" s="1">
        <v>45294</v>
      </c>
      <c r="D170">
        <v>148812</v>
      </c>
      <c r="E170">
        <v>764</v>
      </c>
      <c r="F170">
        <v>0.2</v>
      </c>
      <c r="G170">
        <v>6</v>
      </c>
      <c r="H170" s="2" t="s">
        <v>19</v>
      </c>
      <c r="I170" s="2" t="s">
        <v>17</v>
      </c>
      <c r="J170">
        <v>32</v>
      </c>
      <c r="K170">
        <f>IF(AND(Banking_Credit_Risk_Dirty[[#This Row],[Borrower_Credit_Score]]&gt;=300,Banking_Credit_Risk_Dirty[[#This Row],[Borrower_Credit_Score]]&lt;=850),Banking_Credit_Risk_Dirty[[#This Row],[Borrower_Credit_Score]],"")</f>
        <v>764</v>
      </c>
    </row>
    <row r="171" spans="1:11" x14ac:dyDescent="0.25">
      <c r="A171" s="2" t="s">
        <v>193</v>
      </c>
      <c r="B171" s="2" t="s">
        <v>21</v>
      </c>
      <c r="C171" s="1">
        <v>45907</v>
      </c>
      <c r="D171">
        <v>52644</v>
      </c>
      <c r="E171">
        <v>770</v>
      </c>
      <c r="F171">
        <v>0.46</v>
      </c>
      <c r="G171">
        <v>0</v>
      </c>
      <c r="H171" s="2" t="s">
        <v>16</v>
      </c>
      <c r="I171" s="2" t="s">
        <v>13</v>
      </c>
      <c r="J171">
        <v>12</v>
      </c>
      <c r="K171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172" spans="1:11" x14ac:dyDescent="0.25">
      <c r="A172" s="2" t="s">
        <v>194</v>
      </c>
      <c r="B172" s="2" t="s">
        <v>43</v>
      </c>
      <c r="C172" s="1">
        <v>45893</v>
      </c>
      <c r="D172">
        <v>5648</v>
      </c>
      <c r="E172">
        <v>572</v>
      </c>
      <c r="F172">
        <v>0.43</v>
      </c>
      <c r="G172">
        <v>1</v>
      </c>
      <c r="H172" s="2" t="s">
        <v>19</v>
      </c>
      <c r="I172" s="2" t="s">
        <v>23</v>
      </c>
      <c r="J172">
        <v>12</v>
      </c>
      <c r="K172">
        <f>IF(AND(Banking_Credit_Risk_Dirty[[#This Row],[Borrower_Credit_Score]]&gt;=300,Banking_Credit_Risk_Dirty[[#This Row],[Borrower_Credit_Score]]&lt;=850),Banking_Credit_Risk_Dirty[[#This Row],[Borrower_Credit_Score]],"")</f>
        <v>572</v>
      </c>
    </row>
    <row r="173" spans="1:11" x14ac:dyDescent="0.25">
      <c r="A173" s="2" t="s">
        <v>195</v>
      </c>
      <c r="B173" s="2" t="s">
        <v>21</v>
      </c>
      <c r="C173" s="1">
        <v>45887</v>
      </c>
      <c r="D173">
        <v>112653</v>
      </c>
      <c r="E173">
        <v>726</v>
      </c>
      <c r="F173">
        <v>0.47</v>
      </c>
      <c r="G173">
        <v>4</v>
      </c>
      <c r="H173" s="2" t="s">
        <v>22</v>
      </c>
      <c r="I173" s="2" t="s">
        <v>17</v>
      </c>
      <c r="J173">
        <v>12</v>
      </c>
      <c r="K173">
        <f>IF(AND(Banking_Credit_Risk_Dirty[[#This Row],[Borrower_Credit_Score]]&gt;=300,Banking_Credit_Risk_Dirty[[#This Row],[Borrower_Credit_Score]]&lt;=850),Banking_Credit_Risk_Dirty[[#This Row],[Borrower_Credit_Score]],"")</f>
        <v>726</v>
      </c>
    </row>
    <row r="174" spans="1:11" x14ac:dyDescent="0.25">
      <c r="A174" s="2" t="s">
        <v>196</v>
      </c>
      <c r="B174" s="2" t="s">
        <v>43</v>
      </c>
      <c r="C174" s="1">
        <v>45802</v>
      </c>
      <c r="D174">
        <v>83542</v>
      </c>
      <c r="E174">
        <v>694</v>
      </c>
      <c r="F174">
        <v>0.53</v>
      </c>
      <c r="G174">
        <v>0</v>
      </c>
      <c r="H174" s="2" t="s">
        <v>41</v>
      </c>
      <c r="I174" s="2" t="s">
        <v>13</v>
      </c>
      <c r="J174">
        <v>15</v>
      </c>
      <c r="K174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175" spans="1:11" x14ac:dyDescent="0.25">
      <c r="A175" s="2" t="s">
        <v>197</v>
      </c>
      <c r="B175" s="2" t="s">
        <v>21</v>
      </c>
      <c r="C175" s="1">
        <v>45511</v>
      </c>
      <c r="D175">
        <v>49619</v>
      </c>
      <c r="E175">
        <v>0</v>
      </c>
      <c r="F175">
        <v>0.16</v>
      </c>
      <c r="G175">
        <v>0</v>
      </c>
      <c r="H175" s="2" t="s">
        <v>41</v>
      </c>
      <c r="I175" s="2" t="s">
        <v>13</v>
      </c>
      <c r="J175">
        <v>25</v>
      </c>
      <c r="K175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176" spans="1:11" x14ac:dyDescent="0.25">
      <c r="A176" s="2" t="s">
        <v>198</v>
      </c>
      <c r="B176" s="2" t="s">
        <v>11</v>
      </c>
      <c r="C176" s="1">
        <v>45928</v>
      </c>
      <c r="D176">
        <v>100128</v>
      </c>
      <c r="E176">
        <v>822</v>
      </c>
      <c r="F176">
        <v>0.19</v>
      </c>
      <c r="G176">
        <v>0</v>
      </c>
      <c r="H176" s="2" t="s">
        <v>22</v>
      </c>
      <c r="I176" s="2" t="s">
        <v>13</v>
      </c>
      <c r="J176">
        <v>11</v>
      </c>
      <c r="K176">
        <f>IF(AND(Banking_Credit_Risk_Dirty[[#This Row],[Borrower_Credit_Score]]&gt;=300,Banking_Credit_Risk_Dirty[[#This Row],[Borrower_Credit_Score]]&lt;=850),Banking_Credit_Risk_Dirty[[#This Row],[Borrower_Credit_Score]],"")</f>
        <v>822</v>
      </c>
    </row>
    <row r="177" spans="1:11" x14ac:dyDescent="0.25">
      <c r="A177" s="2" t="s">
        <v>199</v>
      </c>
      <c r="B177" s="2" t="s">
        <v>21</v>
      </c>
      <c r="C177" s="1">
        <v>45614</v>
      </c>
      <c r="D177">
        <v>59107</v>
      </c>
      <c r="E177">
        <v>655</v>
      </c>
      <c r="F177">
        <v>0.52</v>
      </c>
      <c r="G177">
        <v>0</v>
      </c>
      <c r="H177" s="2" t="s">
        <v>19</v>
      </c>
      <c r="I177" s="2" t="s">
        <v>13</v>
      </c>
      <c r="J177">
        <v>21</v>
      </c>
      <c r="K177">
        <f>IF(AND(Banking_Credit_Risk_Dirty[[#This Row],[Borrower_Credit_Score]]&gt;=300,Banking_Credit_Risk_Dirty[[#This Row],[Borrower_Credit_Score]]&lt;=850),Banking_Credit_Risk_Dirty[[#This Row],[Borrower_Credit_Score]],"")</f>
        <v>655</v>
      </c>
    </row>
    <row r="178" spans="1:11" x14ac:dyDescent="0.25">
      <c r="A178" s="2" t="s">
        <v>200</v>
      </c>
      <c r="B178" s="2" t="s">
        <v>21</v>
      </c>
      <c r="C178" s="1">
        <v>45973</v>
      </c>
      <c r="D178">
        <v>68141</v>
      </c>
      <c r="E178">
        <v>457</v>
      </c>
      <c r="F178">
        <v>0.52</v>
      </c>
      <c r="G178">
        <v>3</v>
      </c>
      <c r="H178" s="2" t="s">
        <v>41</v>
      </c>
      <c r="I178" s="2" t="s">
        <v>89</v>
      </c>
      <c r="J178">
        <v>9</v>
      </c>
      <c r="K178">
        <f>IF(AND(Banking_Credit_Risk_Dirty[[#This Row],[Borrower_Credit_Score]]&gt;=300,Banking_Credit_Risk_Dirty[[#This Row],[Borrower_Credit_Score]]&lt;=850),Banking_Credit_Risk_Dirty[[#This Row],[Borrower_Credit_Score]],"")</f>
        <v>457</v>
      </c>
    </row>
    <row r="179" spans="1:11" x14ac:dyDescent="0.25">
      <c r="A179" s="2" t="s">
        <v>201</v>
      </c>
      <c r="B179" s="2" t="s">
        <v>21</v>
      </c>
      <c r="C179" s="1">
        <v>45311</v>
      </c>
      <c r="D179">
        <v>69564</v>
      </c>
      <c r="E179">
        <v>802</v>
      </c>
      <c r="F179">
        <v>0.26</v>
      </c>
      <c r="G179">
        <v>0</v>
      </c>
      <c r="H179" s="2" t="s">
        <v>12</v>
      </c>
      <c r="I179" s="2" t="s">
        <v>13</v>
      </c>
      <c r="J179">
        <v>31</v>
      </c>
      <c r="K179">
        <f>IF(AND(Banking_Credit_Risk_Dirty[[#This Row],[Borrower_Credit_Score]]&gt;=300,Banking_Credit_Risk_Dirty[[#This Row],[Borrower_Credit_Score]]&lt;=850),Banking_Credit_Risk_Dirty[[#This Row],[Borrower_Credit_Score]],"")</f>
        <v>802</v>
      </c>
    </row>
    <row r="180" spans="1:11" x14ac:dyDescent="0.25">
      <c r="A180" s="2" t="s">
        <v>202</v>
      </c>
      <c r="B180" s="2" t="s">
        <v>21</v>
      </c>
      <c r="C180" s="1">
        <v>45776</v>
      </c>
      <c r="D180">
        <v>85607</v>
      </c>
      <c r="E180">
        <v>532</v>
      </c>
      <c r="F180">
        <v>0.63</v>
      </c>
      <c r="G180">
        <v>0</v>
      </c>
      <c r="H180" s="2" t="s">
        <v>27</v>
      </c>
      <c r="I180" s="2" t="s">
        <v>23</v>
      </c>
      <c r="J180">
        <v>16</v>
      </c>
      <c r="K180">
        <f>IF(AND(Banking_Credit_Risk_Dirty[[#This Row],[Borrower_Credit_Score]]&gt;=300,Banking_Credit_Risk_Dirty[[#This Row],[Borrower_Credit_Score]]&lt;=850),Banking_Credit_Risk_Dirty[[#This Row],[Borrower_Credit_Score]],"")</f>
        <v>532</v>
      </c>
    </row>
    <row r="181" spans="1:11" x14ac:dyDescent="0.25">
      <c r="A181" s="2" t="s">
        <v>203</v>
      </c>
      <c r="B181" s="2" t="s">
        <v>43</v>
      </c>
      <c r="C181" s="1">
        <v>45923</v>
      </c>
      <c r="D181">
        <v>107752</v>
      </c>
      <c r="E181">
        <v>593</v>
      </c>
      <c r="F181">
        <v>0.18</v>
      </c>
      <c r="G181">
        <v>1</v>
      </c>
      <c r="H181" s="2" t="s">
        <v>12</v>
      </c>
      <c r="I181" s="2" t="s">
        <v>23</v>
      </c>
      <c r="J181">
        <v>11</v>
      </c>
      <c r="K181">
        <f>IF(AND(Banking_Credit_Risk_Dirty[[#This Row],[Borrower_Credit_Score]]&gt;=300,Banking_Credit_Risk_Dirty[[#This Row],[Borrower_Credit_Score]]&lt;=850),Banking_Credit_Risk_Dirty[[#This Row],[Borrower_Credit_Score]],"")</f>
        <v>593</v>
      </c>
    </row>
    <row r="182" spans="1:11" x14ac:dyDescent="0.25">
      <c r="A182" s="2" t="s">
        <v>204</v>
      </c>
      <c r="B182" s="2" t="s">
        <v>11</v>
      </c>
      <c r="C182" s="1">
        <v>45475</v>
      </c>
      <c r="D182">
        <v>124299</v>
      </c>
      <c r="E182">
        <v>607</v>
      </c>
      <c r="F182">
        <v>0.56000000000000005</v>
      </c>
      <c r="G182">
        <v>0</v>
      </c>
      <c r="H182" s="2" t="s">
        <v>22</v>
      </c>
      <c r="I182" s="2" t="s">
        <v>17</v>
      </c>
      <c r="J182">
        <v>26</v>
      </c>
      <c r="K182">
        <f>IF(AND(Banking_Credit_Risk_Dirty[[#This Row],[Borrower_Credit_Score]]&gt;=300,Banking_Credit_Risk_Dirty[[#This Row],[Borrower_Credit_Score]]&lt;=850),Banking_Credit_Risk_Dirty[[#This Row],[Borrower_Credit_Score]],"")</f>
        <v>607</v>
      </c>
    </row>
    <row r="183" spans="1:11" x14ac:dyDescent="0.25">
      <c r="A183" s="2" t="s">
        <v>205</v>
      </c>
      <c r="B183" s="2" t="s">
        <v>21</v>
      </c>
      <c r="C183" s="1">
        <v>45750</v>
      </c>
      <c r="D183">
        <v>29343</v>
      </c>
      <c r="E183">
        <v>740</v>
      </c>
      <c r="F183">
        <v>0.47</v>
      </c>
      <c r="G183">
        <v>3</v>
      </c>
      <c r="H183" s="2" t="s">
        <v>27</v>
      </c>
      <c r="I183" s="2" t="s">
        <v>23</v>
      </c>
      <c r="J183">
        <v>17</v>
      </c>
      <c r="K183">
        <f>IF(AND(Banking_Credit_Risk_Dirty[[#This Row],[Borrower_Credit_Score]]&gt;=300,Banking_Credit_Risk_Dirty[[#This Row],[Borrower_Credit_Score]]&lt;=850),Banking_Credit_Risk_Dirty[[#This Row],[Borrower_Credit_Score]],"")</f>
        <v>740</v>
      </c>
    </row>
    <row r="184" spans="1:11" x14ac:dyDescent="0.25">
      <c r="A184" s="2" t="s">
        <v>206</v>
      </c>
      <c r="B184" s="2" t="s">
        <v>11</v>
      </c>
      <c r="C184" s="1">
        <v>45577</v>
      </c>
      <c r="D184">
        <v>13870</v>
      </c>
      <c r="E184">
        <v>673</v>
      </c>
      <c r="F184">
        <v>0.64</v>
      </c>
      <c r="G184">
        <v>0</v>
      </c>
      <c r="H184" s="2" t="s">
        <v>12</v>
      </c>
      <c r="I184" s="2" t="s">
        <v>13</v>
      </c>
      <c r="J184">
        <v>22</v>
      </c>
      <c r="K184">
        <f>IF(AND(Banking_Credit_Risk_Dirty[[#This Row],[Borrower_Credit_Score]]&gt;=300,Banking_Credit_Risk_Dirty[[#This Row],[Borrower_Credit_Score]]&lt;=850),Banking_Credit_Risk_Dirty[[#This Row],[Borrower_Credit_Score]],"")</f>
        <v>673</v>
      </c>
    </row>
    <row r="185" spans="1:11" x14ac:dyDescent="0.25">
      <c r="A185" s="2" t="s">
        <v>207</v>
      </c>
      <c r="B185" s="2" t="s">
        <v>11</v>
      </c>
      <c r="C185" s="1">
        <v>45329</v>
      </c>
      <c r="D185">
        <v>119724</v>
      </c>
      <c r="E185">
        <v>797</v>
      </c>
      <c r="F185">
        <v>0.27</v>
      </c>
      <c r="G185">
        <v>0</v>
      </c>
      <c r="H185" s="2" t="s">
        <v>22</v>
      </c>
      <c r="I185" s="2" t="s">
        <v>13</v>
      </c>
      <c r="J185">
        <v>31</v>
      </c>
      <c r="K185">
        <f>IF(AND(Banking_Credit_Risk_Dirty[[#This Row],[Borrower_Credit_Score]]&gt;=300,Banking_Credit_Risk_Dirty[[#This Row],[Borrower_Credit_Score]]&lt;=850),Banking_Credit_Risk_Dirty[[#This Row],[Borrower_Credit_Score]],"")</f>
        <v>797</v>
      </c>
    </row>
    <row r="186" spans="1:11" x14ac:dyDescent="0.25">
      <c r="A186" s="2" t="s">
        <v>208</v>
      </c>
      <c r="B186" s="2" t="s">
        <v>21</v>
      </c>
      <c r="C186" s="1">
        <v>45303</v>
      </c>
      <c r="D186">
        <v>45578</v>
      </c>
      <c r="E186">
        <v>-1</v>
      </c>
      <c r="F186">
        <v>0.45</v>
      </c>
      <c r="G186">
        <v>0</v>
      </c>
      <c r="H186" s="2" t="s">
        <v>22</v>
      </c>
      <c r="I186" s="2" t="s">
        <v>13</v>
      </c>
      <c r="J186">
        <v>31</v>
      </c>
      <c r="K186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187" spans="1:11" x14ac:dyDescent="0.25">
      <c r="A187" s="2" t="s">
        <v>209</v>
      </c>
      <c r="B187" s="2" t="s">
        <v>21</v>
      </c>
      <c r="C187" s="1">
        <v>45652</v>
      </c>
      <c r="D187">
        <v>13851</v>
      </c>
      <c r="E187">
        <v>-1</v>
      </c>
      <c r="F187">
        <v>0.33</v>
      </c>
      <c r="G187">
        <v>0</v>
      </c>
      <c r="H187" s="2" t="s">
        <v>12</v>
      </c>
      <c r="I187" s="2" t="s">
        <v>13</v>
      </c>
      <c r="J187">
        <v>20</v>
      </c>
      <c r="K187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188" spans="1:11" x14ac:dyDescent="0.25">
      <c r="A188" s="2" t="s">
        <v>210</v>
      </c>
      <c r="B188" s="2" t="s">
        <v>11</v>
      </c>
      <c r="C188" s="1">
        <v>45310</v>
      </c>
      <c r="D188">
        <v>127269</v>
      </c>
      <c r="E188">
        <v>547</v>
      </c>
      <c r="F188">
        <v>0.54</v>
      </c>
      <c r="G188">
        <v>0</v>
      </c>
      <c r="H188" s="2" t="s">
        <v>19</v>
      </c>
      <c r="I188" s="2" t="s">
        <v>13</v>
      </c>
      <c r="J188">
        <v>31</v>
      </c>
      <c r="K188">
        <f>IF(AND(Banking_Credit_Risk_Dirty[[#This Row],[Borrower_Credit_Score]]&gt;=300,Banking_Credit_Risk_Dirty[[#This Row],[Borrower_Credit_Score]]&lt;=850),Banking_Credit_Risk_Dirty[[#This Row],[Borrower_Credit_Score]],"")</f>
        <v>547</v>
      </c>
    </row>
    <row r="189" spans="1:11" x14ac:dyDescent="0.25">
      <c r="A189" s="2" t="s">
        <v>211</v>
      </c>
      <c r="B189" s="2" t="s">
        <v>15</v>
      </c>
      <c r="C189" s="1">
        <v>45623</v>
      </c>
      <c r="D189">
        <v>30895</v>
      </c>
      <c r="E189">
        <v>-1</v>
      </c>
      <c r="F189">
        <v>0.53</v>
      </c>
      <c r="G189">
        <v>1</v>
      </c>
      <c r="H189" s="2" t="s">
        <v>41</v>
      </c>
      <c r="I189" s="2" t="s">
        <v>89</v>
      </c>
      <c r="J189">
        <v>21</v>
      </c>
      <c r="K18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190" spans="1:11" x14ac:dyDescent="0.25">
      <c r="A190" s="2" t="s">
        <v>212</v>
      </c>
      <c r="B190" s="2" t="s">
        <v>21</v>
      </c>
      <c r="C190" s="1">
        <v>45888</v>
      </c>
      <c r="D190">
        <v>49777</v>
      </c>
      <c r="E190">
        <v>622</v>
      </c>
      <c r="F190">
        <v>0.61</v>
      </c>
      <c r="G190">
        <v>0</v>
      </c>
      <c r="H190" s="2" t="s">
        <v>12</v>
      </c>
      <c r="I190" s="2" t="s">
        <v>13</v>
      </c>
      <c r="J190">
        <v>12</v>
      </c>
      <c r="K190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191" spans="1:11" x14ac:dyDescent="0.25">
      <c r="A191" s="2" t="s">
        <v>213</v>
      </c>
      <c r="B191" s="2" t="s">
        <v>15</v>
      </c>
      <c r="C191" s="1">
        <v>45528</v>
      </c>
      <c r="D191">
        <v>62889</v>
      </c>
      <c r="E191">
        <v>653</v>
      </c>
      <c r="F191">
        <v>0.42</v>
      </c>
      <c r="G191">
        <v>0</v>
      </c>
      <c r="H191" s="2" t="s">
        <v>12</v>
      </c>
      <c r="I191" s="2" t="s">
        <v>13</v>
      </c>
      <c r="J191">
        <v>24</v>
      </c>
      <c r="K191">
        <f>IF(AND(Banking_Credit_Risk_Dirty[[#This Row],[Borrower_Credit_Score]]&gt;=300,Banking_Credit_Risk_Dirty[[#This Row],[Borrower_Credit_Score]]&lt;=850),Banking_Credit_Risk_Dirty[[#This Row],[Borrower_Credit_Score]],"")</f>
        <v>653</v>
      </c>
    </row>
    <row r="192" spans="1:11" x14ac:dyDescent="0.25">
      <c r="A192" s="2" t="s">
        <v>214</v>
      </c>
      <c r="B192" s="2" t="s">
        <v>21</v>
      </c>
      <c r="C192" s="1">
        <v>45687</v>
      </c>
      <c r="D192">
        <v>127589</v>
      </c>
      <c r="E192">
        <v>754</v>
      </c>
      <c r="F192">
        <v>0.44</v>
      </c>
      <c r="G192">
        <v>0</v>
      </c>
      <c r="H192" s="2" t="s">
        <v>27</v>
      </c>
      <c r="I192" s="2" t="s">
        <v>13</v>
      </c>
      <c r="J192">
        <v>19</v>
      </c>
      <c r="K192">
        <f>IF(AND(Banking_Credit_Risk_Dirty[[#This Row],[Borrower_Credit_Score]]&gt;=300,Banking_Credit_Risk_Dirty[[#This Row],[Borrower_Credit_Score]]&lt;=850),Banking_Credit_Risk_Dirty[[#This Row],[Borrower_Credit_Score]],"")</f>
        <v>754</v>
      </c>
    </row>
    <row r="193" spans="1:11" x14ac:dyDescent="0.25">
      <c r="A193" s="2" t="s">
        <v>215</v>
      </c>
      <c r="B193" s="2" t="s">
        <v>21</v>
      </c>
      <c r="C193" s="1">
        <v>45922</v>
      </c>
      <c r="D193">
        <v>101693</v>
      </c>
      <c r="E193">
        <v>719</v>
      </c>
      <c r="F193">
        <v>0.42</v>
      </c>
      <c r="G193">
        <v>0</v>
      </c>
      <c r="H193" s="2" t="s">
        <v>19</v>
      </c>
      <c r="I193" s="2" t="s">
        <v>13</v>
      </c>
      <c r="J193">
        <v>11</v>
      </c>
      <c r="K193">
        <f>IF(AND(Banking_Credit_Risk_Dirty[[#This Row],[Borrower_Credit_Score]]&gt;=300,Banking_Credit_Risk_Dirty[[#This Row],[Borrower_Credit_Score]]&lt;=850),Banking_Credit_Risk_Dirty[[#This Row],[Borrower_Credit_Score]],"")</f>
        <v>719</v>
      </c>
    </row>
    <row r="194" spans="1:11" x14ac:dyDescent="0.25">
      <c r="A194" s="2" t="s">
        <v>216</v>
      </c>
      <c r="B194" s="2" t="s">
        <v>11</v>
      </c>
      <c r="C194" s="1">
        <v>45954</v>
      </c>
      <c r="D194">
        <v>36418</v>
      </c>
      <c r="E194">
        <v>665</v>
      </c>
      <c r="F194">
        <v>0.18</v>
      </c>
      <c r="G194">
        <v>4</v>
      </c>
      <c r="H194" s="2" t="s">
        <v>22</v>
      </c>
      <c r="I194" s="2" t="s">
        <v>17</v>
      </c>
      <c r="J194">
        <v>10</v>
      </c>
      <c r="K194">
        <f>IF(AND(Banking_Credit_Risk_Dirty[[#This Row],[Borrower_Credit_Score]]&gt;=300,Banking_Credit_Risk_Dirty[[#This Row],[Borrower_Credit_Score]]&lt;=850),Banking_Credit_Risk_Dirty[[#This Row],[Borrower_Credit_Score]],"")</f>
        <v>665</v>
      </c>
    </row>
    <row r="195" spans="1:11" x14ac:dyDescent="0.25">
      <c r="A195" s="2" t="s">
        <v>217</v>
      </c>
      <c r="B195" s="2" t="s">
        <v>21</v>
      </c>
      <c r="C195" s="1">
        <v>45342</v>
      </c>
      <c r="D195">
        <v>26501</v>
      </c>
      <c r="E195">
        <v>741</v>
      </c>
      <c r="F195">
        <v>0.54</v>
      </c>
      <c r="G195">
        <v>4</v>
      </c>
      <c r="H195" s="2" t="s">
        <v>41</v>
      </c>
      <c r="I195" s="2" t="s">
        <v>23</v>
      </c>
      <c r="J195">
        <v>30</v>
      </c>
      <c r="K195">
        <f>IF(AND(Banking_Credit_Risk_Dirty[[#This Row],[Borrower_Credit_Score]]&gt;=300,Banking_Credit_Risk_Dirty[[#This Row],[Borrower_Credit_Score]]&lt;=850),Banking_Credit_Risk_Dirty[[#This Row],[Borrower_Credit_Score]],"")</f>
        <v>741</v>
      </c>
    </row>
    <row r="196" spans="1:11" x14ac:dyDescent="0.25">
      <c r="A196" s="2" t="s">
        <v>218</v>
      </c>
      <c r="B196" s="2" t="s">
        <v>15</v>
      </c>
      <c r="C196" s="1">
        <v>45496</v>
      </c>
      <c r="D196">
        <v>96226</v>
      </c>
      <c r="E196">
        <v>590</v>
      </c>
      <c r="F196">
        <v>0.37</v>
      </c>
      <c r="G196">
        <v>0</v>
      </c>
      <c r="H196" s="2" t="s">
        <v>19</v>
      </c>
      <c r="I196" s="2" t="s">
        <v>13</v>
      </c>
      <c r="J196">
        <v>25</v>
      </c>
      <c r="K196">
        <f>IF(AND(Banking_Credit_Risk_Dirty[[#This Row],[Borrower_Credit_Score]]&gt;=300,Banking_Credit_Risk_Dirty[[#This Row],[Borrower_Credit_Score]]&lt;=850),Banking_Credit_Risk_Dirty[[#This Row],[Borrower_Credit_Score]],"")</f>
        <v>590</v>
      </c>
    </row>
    <row r="197" spans="1:11" x14ac:dyDescent="0.25">
      <c r="A197" s="2" t="s">
        <v>219</v>
      </c>
      <c r="B197" s="2" t="s">
        <v>21</v>
      </c>
      <c r="C197" s="1">
        <v>45704</v>
      </c>
      <c r="D197">
        <v>5914</v>
      </c>
      <c r="E197">
        <v>506</v>
      </c>
      <c r="F197">
        <v>0.21</v>
      </c>
      <c r="G197">
        <v>0</v>
      </c>
      <c r="H197" s="2" t="s">
        <v>12</v>
      </c>
      <c r="I197" s="2" t="s">
        <v>23</v>
      </c>
      <c r="J197">
        <v>18</v>
      </c>
      <c r="K197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198" spans="1:11" x14ac:dyDescent="0.25">
      <c r="A198" s="2" t="s">
        <v>220</v>
      </c>
      <c r="B198" s="2" t="s">
        <v>21</v>
      </c>
      <c r="C198" s="1">
        <v>45574</v>
      </c>
      <c r="D198">
        <v>123155</v>
      </c>
      <c r="E198">
        <v>824</v>
      </c>
      <c r="F198">
        <v>0.42</v>
      </c>
      <c r="G198">
        <v>0</v>
      </c>
      <c r="H198" s="2" t="s">
        <v>22</v>
      </c>
      <c r="I198" s="2" t="s">
        <v>13</v>
      </c>
      <c r="J198">
        <v>23</v>
      </c>
      <c r="K198">
        <f>IF(AND(Banking_Credit_Risk_Dirty[[#This Row],[Borrower_Credit_Score]]&gt;=300,Banking_Credit_Risk_Dirty[[#This Row],[Borrower_Credit_Score]]&lt;=850),Banking_Credit_Risk_Dirty[[#This Row],[Borrower_Credit_Score]],"")</f>
        <v>824</v>
      </c>
    </row>
    <row r="199" spans="1:11" x14ac:dyDescent="0.25">
      <c r="A199" s="2" t="s">
        <v>221</v>
      </c>
      <c r="B199" s="2" t="s">
        <v>15</v>
      </c>
      <c r="C199" s="1">
        <v>45813</v>
      </c>
      <c r="D199">
        <v>51634</v>
      </c>
      <c r="E199">
        <v>667</v>
      </c>
      <c r="F199">
        <v>0.38</v>
      </c>
      <c r="G199">
        <v>6</v>
      </c>
      <c r="H199" s="2" t="s">
        <v>41</v>
      </c>
      <c r="I199" s="2" t="s">
        <v>23</v>
      </c>
      <c r="J199">
        <v>15</v>
      </c>
      <c r="K199">
        <f>IF(AND(Banking_Credit_Risk_Dirty[[#This Row],[Borrower_Credit_Score]]&gt;=300,Banking_Credit_Risk_Dirty[[#This Row],[Borrower_Credit_Score]]&lt;=850),Banking_Credit_Risk_Dirty[[#This Row],[Borrower_Credit_Score]],"")</f>
        <v>667</v>
      </c>
    </row>
    <row r="200" spans="1:11" x14ac:dyDescent="0.25">
      <c r="A200" s="2" t="s">
        <v>222</v>
      </c>
      <c r="B200" s="2" t="s">
        <v>21</v>
      </c>
      <c r="C200" s="1">
        <v>45657</v>
      </c>
      <c r="D200">
        <v>127075</v>
      </c>
      <c r="E200">
        <v>734</v>
      </c>
      <c r="F200">
        <v>0.45</v>
      </c>
      <c r="G200">
        <v>0</v>
      </c>
      <c r="H200" s="2" t="s">
        <v>12</v>
      </c>
      <c r="I200" s="2" t="s">
        <v>13</v>
      </c>
      <c r="J200">
        <v>20</v>
      </c>
      <c r="K200">
        <f>IF(AND(Banking_Credit_Risk_Dirty[[#This Row],[Borrower_Credit_Score]]&gt;=300,Banking_Credit_Risk_Dirty[[#This Row],[Borrower_Credit_Score]]&lt;=850),Banking_Credit_Risk_Dirty[[#This Row],[Borrower_Credit_Score]],"")</f>
        <v>734</v>
      </c>
    </row>
    <row r="201" spans="1:11" x14ac:dyDescent="0.25">
      <c r="A201" s="2" t="s">
        <v>223</v>
      </c>
      <c r="B201" s="2" t="s">
        <v>15</v>
      </c>
      <c r="C201" s="1">
        <v>45627</v>
      </c>
      <c r="D201">
        <v>111788</v>
      </c>
      <c r="E201">
        <v>514</v>
      </c>
      <c r="F201">
        <v>0.31</v>
      </c>
      <c r="G201">
        <v>0</v>
      </c>
      <c r="H201" s="2" t="s">
        <v>27</v>
      </c>
      <c r="I201" s="2" t="s">
        <v>13</v>
      </c>
      <c r="J201">
        <v>21</v>
      </c>
      <c r="K201">
        <f>IF(AND(Banking_Credit_Risk_Dirty[[#This Row],[Borrower_Credit_Score]]&gt;=300,Banking_Credit_Risk_Dirty[[#This Row],[Borrower_Credit_Score]]&lt;=850),Banking_Credit_Risk_Dirty[[#This Row],[Borrower_Credit_Score]],"")</f>
        <v>514</v>
      </c>
    </row>
    <row r="202" spans="1:11" x14ac:dyDescent="0.25">
      <c r="A202" s="2" t="s">
        <v>224</v>
      </c>
      <c r="B202" s="2" t="s">
        <v>21</v>
      </c>
      <c r="C202" s="1">
        <v>45868</v>
      </c>
      <c r="D202">
        <v>38444</v>
      </c>
      <c r="E202">
        <v>559</v>
      </c>
      <c r="F202">
        <v>0.31</v>
      </c>
      <c r="G202">
        <v>0</v>
      </c>
      <c r="H202" s="2" t="s">
        <v>16</v>
      </c>
      <c r="I202" s="2" t="s">
        <v>13</v>
      </c>
      <c r="J202">
        <v>13</v>
      </c>
      <c r="K202">
        <f>IF(AND(Banking_Credit_Risk_Dirty[[#This Row],[Borrower_Credit_Score]]&gt;=300,Banking_Credit_Risk_Dirty[[#This Row],[Borrower_Credit_Score]]&lt;=850),Banking_Credit_Risk_Dirty[[#This Row],[Borrower_Credit_Score]],"")</f>
        <v>559</v>
      </c>
    </row>
    <row r="203" spans="1:11" x14ac:dyDescent="0.25">
      <c r="A203" s="2" t="s">
        <v>225</v>
      </c>
      <c r="B203" s="2" t="s">
        <v>15</v>
      </c>
      <c r="C203" s="1">
        <v>45977</v>
      </c>
      <c r="D203">
        <v>42638</v>
      </c>
      <c r="E203">
        <v>813</v>
      </c>
      <c r="F203">
        <v>0.18</v>
      </c>
      <c r="G203">
        <v>0</v>
      </c>
      <c r="H203" s="2" t="s">
        <v>12</v>
      </c>
      <c r="I203" s="2" t="s">
        <v>13</v>
      </c>
      <c r="J203">
        <v>9</v>
      </c>
      <c r="K203">
        <f>IF(AND(Banking_Credit_Risk_Dirty[[#This Row],[Borrower_Credit_Score]]&gt;=300,Banking_Credit_Risk_Dirty[[#This Row],[Borrower_Credit_Score]]&lt;=850),Banking_Credit_Risk_Dirty[[#This Row],[Borrower_Credit_Score]],"")</f>
        <v>813</v>
      </c>
    </row>
    <row r="204" spans="1:11" x14ac:dyDescent="0.25">
      <c r="A204" s="2" t="s">
        <v>226</v>
      </c>
      <c r="B204" s="2" t="s">
        <v>15</v>
      </c>
      <c r="C204" s="1">
        <v>45452</v>
      </c>
      <c r="D204">
        <v>73143</v>
      </c>
      <c r="E204">
        <v>832</v>
      </c>
      <c r="F204">
        <v>0.32</v>
      </c>
      <c r="G204">
        <v>0</v>
      </c>
      <c r="H204" s="2" t="s">
        <v>16</v>
      </c>
      <c r="I204" s="2" t="s">
        <v>13</v>
      </c>
      <c r="J204">
        <v>27</v>
      </c>
      <c r="K204">
        <f>IF(AND(Banking_Credit_Risk_Dirty[[#This Row],[Borrower_Credit_Score]]&gt;=300,Banking_Credit_Risk_Dirty[[#This Row],[Borrower_Credit_Score]]&lt;=850),Banking_Credit_Risk_Dirty[[#This Row],[Borrower_Credit_Score]],"")</f>
        <v>832</v>
      </c>
    </row>
    <row r="205" spans="1:11" x14ac:dyDescent="0.25">
      <c r="A205" s="2" t="s">
        <v>227</v>
      </c>
      <c r="B205" s="2" t="s">
        <v>11</v>
      </c>
      <c r="C205" s="1">
        <v>45778</v>
      </c>
      <c r="D205">
        <v>87425</v>
      </c>
      <c r="E205">
        <v>820</v>
      </c>
      <c r="F205">
        <v>0.35</v>
      </c>
      <c r="G205">
        <v>0</v>
      </c>
      <c r="H205" s="2" t="s">
        <v>22</v>
      </c>
      <c r="I205" s="2" t="s">
        <v>13</v>
      </c>
      <c r="J205">
        <v>16</v>
      </c>
      <c r="K205">
        <f>IF(AND(Banking_Credit_Risk_Dirty[[#This Row],[Borrower_Credit_Score]]&gt;=300,Banking_Credit_Risk_Dirty[[#This Row],[Borrower_Credit_Score]]&lt;=850),Banking_Credit_Risk_Dirty[[#This Row],[Borrower_Credit_Score]],"")</f>
        <v>820</v>
      </c>
    </row>
    <row r="206" spans="1:11" x14ac:dyDescent="0.25">
      <c r="A206" s="2" t="s">
        <v>228</v>
      </c>
      <c r="B206" s="2" t="s">
        <v>43</v>
      </c>
      <c r="C206" s="1">
        <v>45666</v>
      </c>
      <c r="D206">
        <v>6058</v>
      </c>
      <c r="E206">
        <v>607</v>
      </c>
      <c r="F206">
        <v>0.55000000000000004</v>
      </c>
      <c r="G206">
        <v>1</v>
      </c>
      <c r="H206" s="2" t="s">
        <v>41</v>
      </c>
      <c r="I206" s="2" t="s">
        <v>23</v>
      </c>
      <c r="J206">
        <v>20</v>
      </c>
      <c r="K206">
        <f>IF(AND(Banking_Credit_Risk_Dirty[[#This Row],[Borrower_Credit_Score]]&gt;=300,Banking_Credit_Risk_Dirty[[#This Row],[Borrower_Credit_Score]]&lt;=850),Banking_Credit_Risk_Dirty[[#This Row],[Borrower_Credit_Score]],"")</f>
        <v>607</v>
      </c>
    </row>
    <row r="207" spans="1:11" x14ac:dyDescent="0.25">
      <c r="A207" s="2" t="s">
        <v>229</v>
      </c>
      <c r="B207" s="2" t="s">
        <v>15</v>
      </c>
      <c r="C207" s="1">
        <v>45612</v>
      </c>
      <c r="D207">
        <v>24632</v>
      </c>
      <c r="E207">
        <v>9999</v>
      </c>
      <c r="F207">
        <v>0.3</v>
      </c>
      <c r="G207">
        <v>0</v>
      </c>
      <c r="H207" s="2" t="s">
        <v>16</v>
      </c>
      <c r="I207" s="2" t="s">
        <v>13</v>
      </c>
      <c r="J207">
        <v>21</v>
      </c>
      <c r="K207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208" spans="1:11" x14ac:dyDescent="0.25">
      <c r="A208" s="2" t="s">
        <v>230</v>
      </c>
      <c r="B208" s="2" t="s">
        <v>15</v>
      </c>
      <c r="C208" s="1">
        <v>45640</v>
      </c>
      <c r="D208">
        <v>129379</v>
      </c>
      <c r="E208">
        <v>739</v>
      </c>
      <c r="F208">
        <v>0.17</v>
      </c>
      <c r="G208">
        <v>4</v>
      </c>
      <c r="H208" s="2" t="s">
        <v>27</v>
      </c>
      <c r="I208" s="2" t="s">
        <v>17</v>
      </c>
      <c r="J208">
        <v>20</v>
      </c>
      <c r="K208">
        <f>IF(AND(Banking_Credit_Risk_Dirty[[#This Row],[Borrower_Credit_Score]]&gt;=300,Banking_Credit_Risk_Dirty[[#This Row],[Borrower_Credit_Score]]&lt;=850),Banking_Credit_Risk_Dirty[[#This Row],[Borrower_Credit_Score]],"")</f>
        <v>739</v>
      </c>
    </row>
    <row r="209" spans="1:11" x14ac:dyDescent="0.25">
      <c r="A209" s="2" t="s">
        <v>231</v>
      </c>
      <c r="B209" s="2" t="s">
        <v>15</v>
      </c>
      <c r="C209" s="1">
        <v>45885</v>
      </c>
      <c r="D209">
        <v>80961</v>
      </c>
      <c r="E209">
        <v>757</v>
      </c>
      <c r="F209">
        <v>0.36</v>
      </c>
      <c r="G209">
        <v>0</v>
      </c>
      <c r="H209" s="2" t="s">
        <v>27</v>
      </c>
      <c r="I209" s="2" t="s">
        <v>13</v>
      </c>
      <c r="J209">
        <v>12</v>
      </c>
      <c r="K209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210" spans="1:11" x14ac:dyDescent="0.25">
      <c r="A210" s="2" t="s">
        <v>232</v>
      </c>
      <c r="B210" s="2" t="s">
        <v>21</v>
      </c>
      <c r="C210" s="1">
        <v>45537</v>
      </c>
      <c r="D210">
        <v>122194</v>
      </c>
      <c r="E210">
        <v>668</v>
      </c>
      <c r="F210">
        <v>0.4</v>
      </c>
      <c r="G210">
        <v>4</v>
      </c>
      <c r="H210" s="2" t="s">
        <v>19</v>
      </c>
      <c r="I210" s="2" t="s">
        <v>17</v>
      </c>
      <c r="J210">
        <v>24</v>
      </c>
      <c r="K210">
        <f>IF(AND(Banking_Credit_Risk_Dirty[[#This Row],[Borrower_Credit_Score]]&gt;=300,Banking_Credit_Risk_Dirty[[#This Row],[Borrower_Credit_Score]]&lt;=850),Banking_Credit_Risk_Dirty[[#This Row],[Borrower_Credit_Score]],"")</f>
        <v>668</v>
      </c>
    </row>
    <row r="211" spans="1:11" x14ac:dyDescent="0.25">
      <c r="A211" s="2" t="s">
        <v>233</v>
      </c>
      <c r="B211" s="2" t="s">
        <v>15</v>
      </c>
      <c r="C211" s="1">
        <v>45317</v>
      </c>
      <c r="D211">
        <v>118440</v>
      </c>
      <c r="E211">
        <v>475</v>
      </c>
      <c r="F211">
        <v>0.54</v>
      </c>
      <c r="G211">
        <v>0</v>
      </c>
      <c r="H211" s="2" t="s">
        <v>19</v>
      </c>
      <c r="I211" s="2" t="s">
        <v>13</v>
      </c>
      <c r="J211">
        <v>31</v>
      </c>
      <c r="K211">
        <f>IF(AND(Banking_Credit_Risk_Dirty[[#This Row],[Borrower_Credit_Score]]&gt;=300,Banking_Credit_Risk_Dirty[[#This Row],[Borrower_Credit_Score]]&lt;=850),Banking_Credit_Risk_Dirty[[#This Row],[Borrower_Credit_Score]],"")</f>
        <v>475</v>
      </c>
    </row>
    <row r="212" spans="1:11" x14ac:dyDescent="0.25">
      <c r="A212" s="2" t="s">
        <v>234</v>
      </c>
      <c r="B212" s="2" t="s">
        <v>21</v>
      </c>
      <c r="C212" s="1">
        <v>45620</v>
      </c>
      <c r="D212">
        <v>57344</v>
      </c>
      <c r="E212">
        <v>675</v>
      </c>
      <c r="F212">
        <v>0.49</v>
      </c>
      <c r="G212">
        <v>5</v>
      </c>
      <c r="H212" s="2" t="s">
        <v>22</v>
      </c>
      <c r="I212" s="2" t="s">
        <v>17</v>
      </c>
      <c r="J212">
        <v>21</v>
      </c>
      <c r="K212">
        <f>IF(AND(Banking_Credit_Risk_Dirty[[#This Row],[Borrower_Credit_Score]]&gt;=300,Banking_Credit_Risk_Dirty[[#This Row],[Borrower_Credit_Score]]&lt;=850),Banking_Credit_Risk_Dirty[[#This Row],[Borrower_Credit_Score]],"")</f>
        <v>675</v>
      </c>
    </row>
    <row r="213" spans="1:11" x14ac:dyDescent="0.25">
      <c r="A213" s="2" t="s">
        <v>235</v>
      </c>
      <c r="B213" s="2" t="s">
        <v>11</v>
      </c>
      <c r="C213" s="1">
        <v>45391</v>
      </c>
      <c r="D213">
        <v>125271</v>
      </c>
      <c r="E213">
        <v>535</v>
      </c>
      <c r="F213">
        <v>0.53</v>
      </c>
      <c r="G213">
        <v>0</v>
      </c>
      <c r="H213" s="2" t="s">
        <v>12</v>
      </c>
      <c r="I213" s="2" t="s">
        <v>23</v>
      </c>
      <c r="J213">
        <v>29</v>
      </c>
      <c r="K213">
        <f>IF(AND(Banking_Credit_Risk_Dirty[[#This Row],[Borrower_Credit_Score]]&gt;=300,Banking_Credit_Risk_Dirty[[#This Row],[Borrower_Credit_Score]]&lt;=850),Banking_Credit_Risk_Dirty[[#This Row],[Borrower_Credit_Score]],"")</f>
        <v>535</v>
      </c>
    </row>
    <row r="214" spans="1:11" x14ac:dyDescent="0.25">
      <c r="A214" s="2" t="s">
        <v>236</v>
      </c>
      <c r="B214" s="2" t="s">
        <v>15</v>
      </c>
      <c r="C214" s="1">
        <v>45990</v>
      </c>
      <c r="D214">
        <v>63798</v>
      </c>
      <c r="E214">
        <v>562</v>
      </c>
      <c r="F214">
        <v>0.31</v>
      </c>
      <c r="G214">
        <v>0</v>
      </c>
      <c r="H214" s="2" t="s">
        <v>19</v>
      </c>
      <c r="I214" s="2" t="s">
        <v>13</v>
      </c>
      <c r="J214">
        <v>9</v>
      </c>
      <c r="K214">
        <f>IF(AND(Banking_Credit_Risk_Dirty[[#This Row],[Borrower_Credit_Score]]&gt;=300,Banking_Credit_Risk_Dirty[[#This Row],[Borrower_Credit_Score]]&lt;=850),Banking_Credit_Risk_Dirty[[#This Row],[Borrower_Credit_Score]],"")</f>
        <v>562</v>
      </c>
    </row>
    <row r="215" spans="1:11" x14ac:dyDescent="0.25">
      <c r="A215" s="2" t="s">
        <v>237</v>
      </c>
      <c r="B215" s="2" t="s">
        <v>15</v>
      </c>
      <c r="C215" s="1">
        <v>45495</v>
      </c>
      <c r="D215">
        <v>135232</v>
      </c>
      <c r="E215">
        <v>836</v>
      </c>
      <c r="F215">
        <v>0.35</v>
      </c>
      <c r="G215">
        <v>0</v>
      </c>
      <c r="H215" s="2" t="s">
        <v>41</v>
      </c>
      <c r="I215" s="2" t="s">
        <v>13</v>
      </c>
      <c r="J215">
        <v>25</v>
      </c>
      <c r="K215">
        <f>IF(AND(Banking_Credit_Risk_Dirty[[#This Row],[Borrower_Credit_Score]]&gt;=300,Banking_Credit_Risk_Dirty[[#This Row],[Borrower_Credit_Score]]&lt;=850),Banking_Credit_Risk_Dirty[[#This Row],[Borrower_Credit_Score]],"")</f>
        <v>836</v>
      </c>
    </row>
    <row r="216" spans="1:11" x14ac:dyDescent="0.25">
      <c r="A216" s="2" t="s">
        <v>238</v>
      </c>
      <c r="B216" s="2" t="s">
        <v>11</v>
      </c>
      <c r="C216" s="1">
        <v>45613</v>
      </c>
      <c r="D216">
        <v>31052</v>
      </c>
      <c r="E216">
        <v>549</v>
      </c>
      <c r="F216">
        <v>0.47</v>
      </c>
      <c r="G216">
        <v>0</v>
      </c>
      <c r="H216" s="2" t="s">
        <v>22</v>
      </c>
      <c r="I216" s="2" t="s">
        <v>23</v>
      </c>
      <c r="J216">
        <v>21</v>
      </c>
      <c r="K216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217" spans="1:11" x14ac:dyDescent="0.25">
      <c r="A217" s="2" t="s">
        <v>239</v>
      </c>
      <c r="B217" s="2" t="s">
        <v>21</v>
      </c>
      <c r="C217" s="1">
        <v>45528</v>
      </c>
      <c r="D217">
        <v>83419</v>
      </c>
      <c r="E217">
        <v>622</v>
      </c>
      <c r="F217">
        <v>0.42</v>
      </c>
      <c r="G217">
        <v>0</v>
      </c>
      <c r="H217" s="2" t="s">
        <v>16</v>
      </c>
      <c r="I217" s="2" t="s">
        <v>13</v>
      </c>
      <c r="J217">
        <v>24</v>
      </c>
      <c r="K217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218" spans="1:11" x14ac:dyDescent="0.25">
      <c r="A218" s="2" t="s">
        <v>240</v>
      </c>
      <c r="B218" s="2" t="s">
        <v>15</v>
      </c>
      <c r="C218" s="1">
        <v>45979</v>
      </c>
      <c r="D218">
        <v>43724</v>
      </c>
      <c r="E218">
        <v>657</v>
      </c>
      <c r="F218">
        <v>0.27</v>
      </c>
      <c r="G218">
        <v>0</v>
      </c>
      <c r="H218" s="2" t="s">
        <v>16</v>
      </c>
      <c r="I218" s="2" t="s">
        <v>13</v>
      </c>
      <c r="J218">
        <v>9</v>
      </c>
      <c r="K218">
        <f>IF(AND(Banking_Credit_Risk_Dirty[[#This Row],[Borrower_Credit_Score]]&gt;=300,Banking_Credit_Risk_Dirty[[#This Row],[Borrower_Credit_Score]]&lt;=850),Banking_Credit_Risk_Dirty[[#This Row],[Borrower_Credit_Score]],"")</f>
        <v>657</v>
      </c>
    </row>
    <row r="219" spans="1:11" x14ac:dyDescent="0.25">
      <c r="A219" s="2" t="s">
        <v>241</v>
      </c>
      <c r="B219" s="2" t="s">
        <v>15</v>
      </c>
      <c r="C219" s="1">
        <v>45399</v>
      </c>
      <c r="D219">
        <v>108776</v>
      </c>
      <c r="E219">
        <v>474</v>
      </c>
      <c r="F219">
        <v>0.56999999999999995</v>
      </c>
      <c r="G219">
        <v>2</v>
      </c>
      <c r="H219" s="2" t="s">
        <v>19</v>
      </c>
      <c r="I219" s="2" t="s">
        <v>23</v>
      </c>
      <c r="J219">
        <v>28</v>
      </c>
      <c r="K219">
        <f>IF(AND(Banking_Credit_Risk_Dirty[[#This Row],[Borrower_Credit_Score]]&gt;=300,Banking_Credit_Risk_Dirty[[#This Row],[Borrower_Credit_Score]]&lt;=850),Banking_Credit_Risk_Dirty[[#This Row],[Borrower_Credit_Score]],"")</f>
        <v>474</v>
      </c>
    </row>
    <row r="220" spans="1:11" x14ac:dyDescent="0.25">
      <c r="A220" s="2" t="s">
        <v>242</v>
      </c>
      <c r="B220" s="2" t="s">
        <v>21</v>
      </c>
      <c r="C220" s="1">
        <v>45468</v>
      </c>
      <c r="D220">
        <v>71094</v>
      </c>
      <c r="E220">
        <v>741</v>
      </c>
      <c r="F220">
        <v>0.43</v>
      </c>
      <c r="G220">
        <v>0</v>
      </c>
      <c r="H220" s="2" t="s">
        <v>41</v>
      </c>
      <c r="I220" s="2" t="s">
        <v>13</v>
      </c>
      <c r="J220">
        <v>26</v>
      </c>
      <c r="K220">
        <f>IF(AND(Banking_Credit_Risk_Dirty[[#This Row],[Borrower_Credit_Score]]&gt;=300,Banking_Credit_Risk_Dirty[[#This Row],[Borrower_Credit_Score]]&lt;=850),Banking_Credit_Risk_Dirty[[#This Row],[Borrower_Credit_Score]],"")</f>
        <v>741</v>
      </c>
    </row>
    <row r="221" spans="1:11" x14ac:dyDescent="0.25">
      <c r="A221" s="2" t="s">
        <v>243</v>
      </c>
      <c r="B221" s="2" t="s">
        <v>11</v>
      </c>
      <c r="C221" s="1">
        <v>45430</v>
      </c>
      <c r="D221">
        <v>38513</v>
      </c>
      <c r="E221">
        <v>839</v>
      </c>
      <c r="F221">
        <v>0.2</v>
      </c>
      <c r="G221">
        <v>4</v>
      </c>
      <c r="H221" s="2" t="s">
        <v>41</v>
      </c>
      <c r="I221" s="2" t="s">
        <v>23</v>
      </c>
      <c r="J221">
        <v>27</v>
      </c>
      <c r="K221">
        <f>IF(AND(Banking_Credit_Risk_Dirty[[#This Row],[Borrower_Credit_Score]]&gt;=300,Banking_Credit_Risk_Dirty[[#This Row],[Borrower_Credit_Score]]&lt;=850),Banking_Credit_Risk_Dirty[[#This Row],[Borrower_Credit_Score]],"")</f>
        <v>839</v>
      </c>
    </row>
    <row r="222" spans="1:11" x14ac:dyDescent="0.25">
      <c r="A222" s="2" t="s">
        <v>244</v>
      </c>
      <c r="B222" s="2" t="s">
        <v>15</v>
      </c>
      <c r="C222" s="1">
        <v>45846</v>
      </c>
      <c r="D222">
        <v>58038</v>
      </c>
      <c r="E222">
        <v>788</v>
      </c>
      <c r="F222">
        <v>0.26</v>
      </c>
      <c r="G222">
        <v>0</v>
      </c>
      <c r="H222" s="2" t="s">
        <v>12</v>
      </c>
      <c r="I222" s="2" t="s">
        <v>13</v>
      </c>
      <c r="J222">
        <v>14</v>
      </c>
      <c r="K222">
        <f>IF(AND(Banking_Credit_Risk_Dirty[[#This Row],[Borrower_Credit_Score]]&gt;=300,Banking_Credit_Risk_Dirty[[#This Row],[Borrower_Credit_Score]]&lt;=850),Banking_Credit_Risk_Dirty[[#This Row],[Borrower_Credit_Score]],"")</f>
        <v>788</v>
      </c>
    </row>
    <row r="223" spans="1:11" x14ac:dyDescent="0.25">
      <c r="A223" s="2" t="s">
        <v>245</v>
      </c>
      <c r="B223" s="2" t="s">
        <v>15</v>
      </c>
      <c r="C223" s="1">
        <v>45678</v>
      </c>
      <c r="D223">
        <v>136665</v>
      </c>
      <c r="E223">
        <v>736</v>
      </c>
      <c r="F223">
        <v>0.6</v>
      </c>
      <c r="G223">
        <v>6</v>
      </c>
      <c r="H223" s="2" t="s">
        <v>19</v>
      </c>
      <c r="I223" s="2" t="s">
        <v>23</v>
      </c>
      <c r="J223">
        <v>19</v>
      </c>
      <c r="K223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224" spans="1:11" x14ac:dyDescent="0.25">
      <c r="A224" s="2" t="s">
        <v>246</v>
      </c>
      <c r="B224" s="2" t="s">
        <v>21</v>
      </c>
      <c r="C224" s="1">
        <v>45359</v>
      </c>
      <c r="D224">
        <v>111388</v>
      </c>
      <c r="E224">
        <v>620</v>
      </c>
      <c r="F224">
        <v>0.64</v>
      </c>
      <c r="G224">
        <v>0</v>
      </c>
      <c r="H224" s="2" t="s">
        <v>16</v>
      </c>
      <c r="I224" s="2" t="s">
        <v>17</v>
      </c>
      <c r="J224">
        <v>30</v>
      </c>
      <c r="K224">
        <f>IF(AND(Banking_Credit_Risk_Dirty[[#This Row],[Borrower_Credit_Score]]&gt;=300,Banking_Credit_Risk_Dirty[[#This Row],[Borrower_Credit_Score]]&lt;=850),Banking_Credit_Risk_Dirty[[#This Row],[Borrower_Credit_Score]],"")</f>
        <v>620</v>
      </c>
    </row>
    <row r="225" spans="1:11" x14ac:dyDescent="0.25">
      <c r="A225" s="2" t="s">
        <v>247</v>
      </c>
      <c r="B225" s="2" t="s">
        <v>43</v>
      </c>
      <c r="C225" s="1">
        <v>45526</v>
      </c>
      <c r="D225">
        <v>91899</v>
      </c>
      <c r="E225">
        <v>762</v>
      </c>
      <c r="F225">
        <v>0.18</v>
      </c>
      <c r="G225">
        <v>0</v>
      </c>
      <c r="H225" s="2" t="s">
        <v>41</v>
      </c>
      <c r="I225" s="2" t="s">
        <v>13</v>
      </c>
      <c r="J225">
        <v>24</v>
      </c>
      <c r="K225">
        <f>IF(AND(Banking_Credit_Risk_Dirty[[#This Row],[Borrower_Credit_Score]]&gt;=300,Banking_Credit_Risk_Dirty[[#This Row],[Borrower_Credit_Score]]&lt;=850),Banking_Credit_Risk_Dirty[[#This Row],[Borrower_Credit_Score]],"")</f>
        <v>762</v>
      </c>
    </row>
    <row r="226" spans="1:11" x14ac:dyDescent="0.25">
      <c r="A226" s="2" t="s">
        <v>248</v>
      </c>
      <c r="B226" s="2" t="s">
        <v>43</v>
      </c>
      <c r="C226" s="1">
        <v>45540</v>
      </c>
      <c r="D226">
        <v>131425</v>
      </c>
      <c r="E226">
        <v>599</v>
      </c>
      <c r="F226">
        <v>0.51</v>
      </c>
      <c r="G226">
        <v>2</v>
      </c>
      <c r="H226" s="2" t="s">
        <v>41</v>
      </c>
      <c r="I226" s="2" t="s">
        <v>23</v>
      </c>
      <c r="J226">
        <v>24</v>
      </c>
      <c r="K226">
        <f>IF(AND(Banking_Credit_Risk_Dirty[[#This Row],[Borrower_Credit_Score]]&gt;=300,Banking_Credit_Risk_Dirty[[#This Row],[Borrower_Credit_Score]]&lt;=850),Banking_Credit_Risk_Dirty[[#This Row],[Borrower_Credit_Score]],"")</f>
        <v>599</v>
      </c>
    </row>
    <row r="227" spans="1:11" x14ac:dyDescent="0.25">
      <c r="A227" s="2" t="s">
        <v>249</v>
      </c>
      <c r="B227" s="2" t="s">
        <v>21</v>
      </c>
      <c r="C227" s="1">
        <v>45661</v>
      </c>
      <c r="D227">
        <v>85450</v>
      </c>
      <c r="E227">
        <v>534</v>
      </c>
      <c r="F227">
        <v>0.25</v>
      </c>
      <c r="G227">
        <v>3</v>
      </c>
      <c r="H227" s="2" t="s">
        <v>41</v>
      </c>
      <c r="I227" s="2" t="s">
        <v>17</v>
      </c>
      <c r="J227">
        <v>20</v>
      </c>
      <c r="K227">
        <f>IF(AND(Banking_Credit_Risk_Dirty[[#This Row],[Borrower_Credit_Score]]&gt;=300,Banking_Credit_Risk_Dirty[[#This Row],[Borrower_Credit_Score]]&lt;=850),Banking_Credit_Risk_Dirty[[#This Row],[Borrower_Credit_Score]],"")</f>
        <v>534</v>
      </c>
    </row>
    <row r="228" spans="1:11" x14ac:dyDescent="0.25">
      <c r="A228" s="2" t="s">
        <v>250</v>
      </c>
      <c r="B228" s="2" t="s">
        <v>15</v>
      </c>
      <c r="C228" s="1">
        <v>45624</v>
      </c>
      <c r="D228">
        <v>66810</v>
      </c>
      <c r="E228">
        <v>594</v>
      </c>
      <c r="F228">
        <v>0.59</v>
      </c>
      <c r="G228">
        <v>0</v>
      </c>
      <c r="H228" s="2" t="s">
        <v>41</v>
      </c>
      <c r="I228" s="2" t="s">
        <v>13</v>
      </c>
      <c r="J228">
        <v>21</v>
      </c>
      <c r="K228">
        <f>IF(AND(Banking_Credit_Risk_Dirty[[#This Row],[Borrower_Credit_Score]]&gt;=300,Banking_Credit_Risk_Dirty[[#This Row],[Borrower_Credit_Score]]&lt;=850),Banking_Credit_Risk_Dirty[[#This Row],[Borrower_Credit_Score]],"")</f>
        <v>594</v>
      </c>
    </row>
    <row r="229" spans="1:11" x14ac:dyDescent="0.25">
      <c r="A229" s="2" t="s">
        <v>251</v>
      </c>
      <c r="B229" s="2" t="s">
        <v>15</v>
      </c>
      <c r="C229" s="1">
        <v>45939</v>
      </c>
      <c r="D229">
        <v>126921</v>
      </c>
      <c r="E229">
        <v>472</v>
      </c>
      <c r="F229">
        <v>0.2</v>
      </c>
      <c r="G229">
        <v>0</v>
      </c>
      <c r="H229" s="2" t="s">
        <v>12</v>
      </c>
      <c r="I229" s="2" t="s">
        <v>13</v>
      </c>
      <c r="J229">
        <v>11</v>
      </c>
      <c r="K229">
        <f>IF(AND(Banking_Credit_Risk_Dirty[[#This Row],[Borrower_Credit_Score]]&gt;=300,Banking_Credit_Risk_Dirty[[#This Row],[Borrower_Credit_Score]]&lt;=850),Banking_Credit_Risk_Dirty[[#This Row],[Borrower_Credit_Score]],"")</f>
        <v>472</v>
      </c>
    </row>
    <row r="230" spans="1:11" x14ac:dyDescent="0.25">
      <c r="A230" s="2" t="s">
        <v>252</v>
      </c>
      <c r="B230" s="2" t="s">
        <v>21</v>
      </c>
      <c r="C230" s="1">
        <v>45332</v>
      </c>
      <c r="D230">
        <v>114389</v>
      </c>
      <c r="E230">
        <v>532</v>
      </c>
      <c r="F230">
        <v>0.42</v>
      </c>
      <c r="G230">
        <v>0</v>
      </c>
      <c r="H230" s="2" t="s">
        <v>19</v>
      </c>
      <c r="I230" s="2" t="s">
        <v>13</v>
      </c>
      <c r="J230">
        <v>30</v>
      </c>
      <c r="K230">
        <f>IF(AND(Banking_Credit_Risk_Dirty[[#This Row],[Borrower_Credit_Score]]&gt;=300,Banking_Credit_Risk_Dirty[[#This Row],[Borrower_Credit_Score]]&lt;=850),Banking_Credit_Risk_Dirty[[#This Row],[Borrower_Credit_Score]],"")</f>
        <v>532</v>
      </c>
    </row>
    <row r="231" spans="1:11" x14ac:dyDescent="0.25">
      <c r="A231" s="2" t="s">
        <v>253</v>
      </c>
      <c r="B231" s="2" t="s">
        <v>21</v>
      </c>
      <c r="C231" s="1">
        <v>45741</v>
      </c>
      <c r="D231">
        <v>108643</v>
      </c>
      <c r="E231">
        <v>470</v>
      </c>
      <c r="F231">
        <v>0.28000000000000003</v>
      </c>
      <c r="G231">
        <v>0</v>
      </c>
      <c r="H231" s="2" t="s">
        <v>27</v>
      </c>
      <c r="I231" s="2" t="s">
        <v>13</v>
      </c>
      <c r="J231">
        <v>17</v>
      </c>
      <c r="K231">
        <f>IF(AND(Banking_Credit_Risk_Dirty[[#This Row],[Borrower_Credit_Score]]&gt;=300,Banking_Credit_Risk_Dirty[[#This Row],[Borrower_Credit_Score]]&lt;=850),Banking_Credit_Risk_Dirty[[#This Row],[Borrower_Credit_Score]],"")</f>
        <v>470</v>
      </c>
    </row>
    <row r="232" spans="1:11" x14ac:dyDescent="0.25">
      <c r="A232" s="2" t="s">
        <v>254</v>
      </c>
      <c r="B232" s="2" t="s">
        <v>43</v>
      </c>
      <c r="C232" s="1">
        <v>45961</v>
      </c>
      <c r="D232">
        <v>135320</v>
      </c>
      <c r="E232">
        <v>722</v>
      </c>
      <c r="F232">
        <v>0.27</v>
      </c>
      <c r="G232">
        <v>0</v>
      </c>
      <c r="H232" s="2" t="s">
        <v>22</v>
      </c>
      <c r="I232" s="2" t="s">
        <v>13</v>
      </c>
      <c r="J232">
        <v>10</v>
      </c>
      <c r="K232">
        <f>IF(AND(Banking_Credit_Risk_Dirty[[#This Row],[Borrower_Credit_Score]]&gt;=300,Banking_Credit_Risk_Dirty[[#This Row],[Borrower_Credit_Score]]&lt;=850),Banking_Credit_Risk_Dirty[[#This Row],[Borrower_Credit_Score]],"")</f>
        <v>722</v>
      </c>
    </row>
    <row r="233" spans="1:11" x14ac:dyDescent="0.25">
      <c r="A233" s="2" t="s">
        <v>255</v>
      </c>
      <c r="B233" s="2" t="s">
        <v>11</v>
      </c>
      <c r="C233" s="1">
        <v>45910</v>
      </c>
      <c r="D233">
        <v>75212</v>
      </c>
      <c r="E233">
        <v>723</v>
      </c>
      <c r="F233">
        <v>0.28000000000000003</v>
      </c>
      <c r="G233">
        <v>2</v>
      </c>
      <c r="H233" s="2" t="s">
        <v>41</v>
      </c>
      <c r="I233" s="2" t="s">
        <v>17</v>
      </c>
      <c r="J233">
        <v>11</v>
      </c>
      <c r="K233">
        <f>IF(AND(Banking_Credit_Risk_Dirty[[#This Row],[Borrower_Credit_Score]]&gt;=300,Banking_Credit_Risk_Dirty[[#This Row],[Borrower_Credit_Score]]&lt;=850),Banking_Credit_Risk_Dirty[[#This Row],[Borrower_Credit_Score]],"")</f>
        <v>723</v>
      </c>
    </row>
    <row r="234" spans="1:11" x14ac:dyDescent="0.25">
      <c r="A234" s="2" t="s">
        <v>256</v>
      </c>
      <c r="B234" s="2" t="s">
        <v>43</v>
      </c>
      <c r="C234" s="1">
        <v>45956</v>
      </c>
      <c r="D234">
        <v>71706</v>
      </c>
      <c r="E234">
        <v>793</v>
      </c>
      <c r="F234">
        <v>0.51</v>
      </c>
      <c r="G234">
        <v>0</v>
      </c>
      <c r="H234" s="2" t="s">
        <v>41</v>
      </c>
      <c r="I234" s="2" t="s">
        <v>13</v>
      </c>
      <c r="J234">
        <v>10</v>
      </c>
      <c r="K234">
        <f>IF(AND(Banking_Credit_Risk_Dirty[[#This Row],[Borrower_Credit_Score]]&gt;=300,Banking_Credit_Risk_Dirty[[#This Row],[Borrower_Credit_Score]]&lt;=850),Banking_Credit_Risk_Dirty[[#This Row],[Borrower_Credit_Score]],"")</f>
        <v>793</v>
      </c>
    </row>
    <row r="235" spans="1:11" x14ac:dyDescent="0.25">
      <c r="A235" s="2" t="s">
        <v>257</v>
      </c>
      <c r="B235" s="2" t="s">
        <v>15</v>
      </c>
      <c r="C235" s="1">
        <v>45546</v>
      </c>
      <c r="D235">
        <v>113084</v>
      </c>
      <c r="E235">
        <v>558</v>
      </c>
      <c r="F235">
        <v>0.6</v>
      </c>
      <c r="G235">
        <v>2</v>
      </c>
      <c r="H235" s="2" t="s">
        <v>12</v>
      </c>
      <c r="I235" s="2" t="s">
        <v>23</v>
      </c>
      <c r="J235">
        <v>23</v>
      </c>
      <c r="K235">
        <f>IF(AND(Banking_Credit_Risk_Dirty[[#This Row],[Borrower_Credit_Score]]&gt;=300,Banking_Credit_Risk_Dirty[[#This Row],[Borrower_Credit_Score]]&lt;=850),Banking_Credit_Risk_Dirty[[#This Row],[Borrower_Credit_Score]],"")</f>
        <v>558</v>
      </c>
    </row>
    <row r="236" spans="1:11" x14ac:dyDescent="0.25">
      <c r="A236" s="2" t="s">
        <v>258</v>
      </c>
      <c r="B236" s="2" t="s">
        <v>15</v>
      </c>
      <c r="C236" s="1">
        <v>45934</v>
      </c>
      <c r="D236">
        <v>17105</v>
      </c>
      <c r="E236">
        <v>819</v>
      </c>
      <c r="F236">
        <v>0.59</v>
      </c>
      <c r="G236">
        <v>4</v>
      </c>
      <c r="H236" s="2" t="s">
        <v>27</v>
      </c>
      <c r="I236" s="2" t="s">
        <v>23</v>
      </c>
      <c r="J236">
        <v>11</v>
      </c>
      <c r="K236">
        <f>IF(AND(Banking_Credit_Risk_Dirty[[#This Row],[Borrower_Credit_Score]]&gt;=300,Banking_Credit_Risk_Dirty[[#This Row],[Borrower_Credit_Score]]&lt;=850),Banking_Credit_Risk_Dirty[[#This Row],[Borrower_Credit_Score]],"")</f>
        <v>819</v>
      </c>
    </row>
    <row r="237" spans="1:11" x14ac:dyDescent="0.25">
      <c r="A237" s="2" t="s">
        <v>259</v>
      </c>
      <c r="B237" s="2" t="s">
        <v>15</v>
      </c>
      <c r="C237" s="1">
        <v>45804</v>
      </c>
      <c r="D237">
        <v>108274</v>
      </c>
      <c r="E237">
        <v>508</v>
      </c>
      <c r="F237">
        <v>0.5</v>
      </c>
      <c r="G237">
        <v>0</v>
      </c>
      <c r="H237" s="2" t="s">
        <v>12</v>
      </c>
      <c r="I237" s="2" t="s">
        <v>13</v>
      </c>
      <c r="J237">
        <v>15</v>
      </c>
      <c r="K237">
        <f>IF(AND(Banking_Credit_Risk_Dirty[[#This Row],[Borrower_Credit_Score]]&gt;=300,Banking_Credit_Risk_Dirty[[#This Row],[Borrower_Credit_Score]]&lt;=850),Banking_Credit_Risk_Dirty[[#This Row],[Borrower_Credit_Score]],"")</f>
        <v>508</v>
      </c>
    </row>
    <row r="238" spans="1:11" x14ac:dyDescent="0.25">
      <c r="A238" s="2" t="s">
        <v>260</v>
      </c>
      <c r="B238" s="2" t="s">
        <v>21</v>
      </c>
      <c r="C238" s="1">
        <v>45961</v>
      </c>
      <c r="D238">
        <v>63136</v>
      </c>
      <c r="E238">
        <v>834</v>
      </c>
      <c r="F238">
        <v>0.24</v>
      </c>
      <c r="G238">
        <v>0</v>
      </c>
      <c r="H238" s="2" t="s">
        <v>12</v>
      </c>
      <c r="I238" s="2" t="s">
        <v>23</v>
      </c>
      <c r="J238">
        <v>10</v>
      </c>
      <c r="K238">
        <f>IF(AND(Banking_Credit_Risk_Dirty[[#This Row],[Borrower_Credit_Score]]&gt;=300,Banking_Credit_Risk_Dirty[[#This Row],[Borrower_Credit_Score]]&lt;=850),Banking_Credit_Risk_Dirty[[#This Row],[Borrower_Credit_Score]],"")</f>
        <v>834</v>
      </c>
    </row>
    <row r="239" spans="1:11" x14ac:dyDescent="0.25">
      <c r="A239" s="2" t="s">
        <v>261</v>
      </c>
      <c r="B239" s="2" t="s">
        <v>15</v>
      </c>
      <c r="C239" s="1">
        <v>45294</v>
      </c>
      <c r="D239">
        <v>11839</v>
      </c>
      <c r="E239">
        <v>756</v>
      </c>
      <c r="F239">
        <v>0.56999999999999995</v>
      </c>
      <c r="G239">
        <v>0</v>
      </c>
      <c r="H239" s="2" t="s">
        <v>19</v>
      </c>
      <c r="I239" s="2" t="s">
        <v>13</v>
      </c>
      <c r="J239">
        <v>32</v>
      </c>
      <c r="K239">
        <f>IF(AND(Banking_Credit_Risk_Dirty[[#This Row],[Borrower_Credit_Score]]&gt;=300,Banking_Credit_Risk_Dirty[[#This Row],[Borrower_Credit_Score]]&lt;=850),Banking_Credit_Risk_Dirty[[#This Row],[Borrower_Credit_Score]],"")</f>
        <v>756</v>
      </c>
    </row>
    <row r="240" spans="1:11" x14ac:dyDescent="0.25">
      <c r="A240" s="2" t="s">
        <v>262</v>
      </c>
      <c r="B240" s="2" t="s">
        <v>15</v>
      </c>
      <c r="C240" s="1">
        <v>45922</v>
      </c>
      <c r="D240">
        <v>94458</v>
      </c>
      <c r="E240">
        <v>843</v>
      </c>
      <c r="F240">
        <v>0.47</v>
      </c>
      <c r="G240">
        <v>5</v>
      </c>
      <c r="H240" s="2" t="s">
        <v>27</v>
      </c>
      <c r="I240" s="2" t="s">
        <v>23</v>
      </c>
      <c r="J240">
        <v>11</v>
      </c>
      <c r="K240">
        <f>IF(AND(Banking_Credit_Risk_Dirty[[#This Row],[Borrower_Credit_Score]]&gt;=300,Banking_Credit_Risk_Dirty[[#This Row],[Borrower_Credit_Score]]&lt;=850),Banking_Credit_Risk_Dirty[[#This Row],[Borrower_Credit_Score]],"")</f>
        <v>843</v>
      </c>
    </row>
    <row r="241" spans="1:11" x14ac:dyDescent="0.25">
      <c r="A241" s="2" t="s">
        <v>263</v>
      </c>
      <c r="B241" s="2" t="s">
        <v>15</v>
      </c>
      <c r="C241" s="1">
        <v>45380</v>
      </c>
      <c r="D241">
        <v>147513</v>
      </c>
      <c r="E241">
        <v>784</v>
      </c>
      <c r="F241">
        <v>0.48</v>
      </c>
      <c r="G241">
        <v>0</v>
      </c>
      <c r="H241" s="2" t="s">
        <v>12</v>
      </c>
      <c r="I241" s="2" t="s">
        <v>13</v>
      </c>
      <c r="J241">
        <v>29</v>
      </c>
      <c r="K241">
        <f>IF(AND(Banking_Credit_Risk_Dirty[[#This Row],[Borrower_Credit_Score]]&gt;=300,Banking_Credit_Risk_Dirty[[#This Row],[Borrower_Credit_Score]]&lt;=850),Banking_Credit_Risk_Dirty[[#This Row],[Borrower_Credit_Score]],"")</f>
        <v>784</v>
      </c>
    </row>
    <row r="242" spans="1:11" x14ac:dyDescent="0.25">
      <c r="A242" s="2" t="s">
        <v>264</v>
      </c>
      <c r="B242" s="2" t="s">
        <v>21</v>
      </c>
      <c r="C242" s="1">
        <v>45746</v>
      </c>
      <c r="D242">
        <v>22225</v>
      </c>
      <c r="E242">
        <v>452</v>
      </c>
      <c r="F242">
        <v>0.3</v>
      </c>
      <c r="G242">
        <v>0</v>
      </c>
      <c r="H242" s="2" t="s">
        <v>19</v>
      </c>
      <c r="I242" s="2" t="s">
        <v>13</v>
      </c>
      <c r="J242">
        <v>17</v>
      </c>
      <c r="K242">
        <f>IF(AND(Banking_Credit_Risk_Dirty[[#This Row],[Borrower_Credit_Score]]&gt;=300,Banking_Credit_Risk_Dirty[[#This Row],[Borrower_Credit_Score]]&lt;=850),Banking_Credit_Risk_Dirty[[#This Row],[Borrower_Credit_Score]],"")</f>
        <v>452</v>
      </c>
    </row>
    <row r="243" spans="1:11" x14ac:dyDescent="0.25">
      <c r="A243" s="2" t="s">
        <v>265</v>
      </c>
      <c r="B243" s="2" t="s">
        <v>21</v>
      </c>
      <c r="C243" s="1">
        <v>45438</v>
      </c>
      <c r="D243">
        <v>79252</v>
      </c>
      <c r="E243">
        <v>486</v>
      </c>
      <c r="F243">
        <v>0.52</v>
      </c>
      <c r="G243">
        <v>4</v>
      </c>
      <c r="H243" s="2" t="s">
        <v>41</v>
      </c>
      <c r="I243" s="2" t="s">
        <v>89</v>
      </c>
      <c r="J243">
        <v>27</v>
      </c>
      <c r="K243">
        <f>IF(AND(Banking_Credit_Risk_Dirty[[#This Row],[Borrower_Credit_Score]]&gt;=300,Banking_Credit_Risk_Dirty[[#This Row],[Borrower_Credit_Score]]&lt;=850),Banking_Credit_Risk_Dirty[[#This Row],[Borrower_Credit_Score]],"")</f>
        <v>486</v>
      </c>
    </row>
    <row r="244" spans="1:11" x14ac:dyDescent="0.25">
      <c r="A244" s="2" t="s">
        <v>266</v>
      </c>
      <c r="B244" s="2" t="s">
        <v>15</v>
      </c>
      <c r="C244" s="1">
        <v>45717</v>
      </c>
      <c r="D244">
        <v>51155</v>
      </c>
      <c r="E244">
        <v>705</v>
      </c>
      <c r="F244">
        <v>0.46</v>
      </c>
      <c r="G244">
        <v>5</v>
      </c>
      <c r="H244" s="2" t="s">
        <v>19</v>
      </c>
      <c r="I244" s="2" t="s">
        <v>23</v>
      </c>
      <c r="J244">
        <v>18</v>
      </c>
      <c r="K244">
        <f>IF(AND(Banking_Credit_Risk_Dirty[[#This Row],[Borrower_Credit_Score]]&gt;=300,Banking_Credit_Risk_Dirty[[#This Row],[Borrower_Credit_Score]]&lt;=850),Banking_Credit_Risk_Dirty[[#This Row],[Borrower_Credit_Score]],"")</f>
        <v>705</v>
      </c>
    </row>
    <row r="245" spans="1:11" x14ac:dyDescent="0.25">
      <c r="A245" s="2" t="s">
        <v>267</v>
      </c>
      <c r="B245" s="2" t="s">
        <v>15</v>
      </c>
      <c r="C245" s="1">
        <v>45653</v>
      </c>
      <c r="D245">
        <v>29218</v>
      </c>
      <c r="E245">
        <v>-1</v>
      </c>
      <c r="F245">
        <v>0.48</v>
      </c>
      <c r="G245">
        <v>5</v>
      </c>
      <c r="H245" s="2" t="s">
        <v>41</v>
      </c>
      <c r="I245" s="2" t="s">
        <v>89</v>
      </c>
      <c r="J245">
        <v>20</v>
      </c>
      <c r="K245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246" spans="1:11" x14ac:dyDescent="0.25">
      <c r="A246" s="2" t="s">
        <v>268</v>
      </c>
      <c r="B246" s="2" t="s">
        <v>15</v>
      </c>
      <c r="C246" s="1">
        <v>45642</v>
      </c>
      <c r="D246">
        <v>17168</v>
      </c>
      <c r="E246">
        <v>712</v>
      </c>
      <c r="F246">
        <v>0.16</v>
      </c>
      <c r="G246">
        <v>0</v>
      </c>
      <c r="H246" s="2" t="s">
        <v>12</v>
      </c>
      <c r="I246" s="2" t="s">
        <v>13</v>
      </c>
      <c r="J246">
        <v>20</v>
      </c>
      <c r="K246">
        <f>IF(AND(Banking_Credit_Risk_Dirty[[#This Row],[Borrower_Credit_Score]]&gt;=300,Banking_Credit_Risk_Dirty[[#This Row],[Borrower_Credit_Score]]&lt;=850),Banking_Credit_Risk_Dirty[[#This Row],[Borrower_Credit_Score]],"")</f>
        <v>712</v>
      </c>
    </row>
    <row r="247" spans="1:11" x14ac:dyDescent="0.25">
      <c r="A247" s="2" t="s">
        <v>269</v>
      </c>
      <c r="B247" s="2" t="s">
        <v>15</v>
      </c>
      <c r="C247" s="1">
        <v>45656</v>
      </c>
      <c r="D247">
        <v>97535</v>
      </c>
      <c r="E247">
        <v>457</v>
      </c>
      <c r="F247">
        <v>0.54</v>
      </c>
      <c r="G247">
        <v>1</v>
      </c>
      <c r="H247" s="2" t="s">
        <v>27</v>
      </c>
      <c r="I247" s="2" t="s">
        <v>89</v>
      </c>
      <c r="J247">
        <v>20</v>
      </c>
      <c r="K247">
        <f>IF(AND(Banking_Credit_Risk_Dirty[[#This Row],[Borrower_Credit_Score]]&gt;=300,Banking_Credit_Risk_Dirty[[#This Row],[Borrower_Credit_Score]]&lt;=850),Banking_Credit_Risk_Dirty[[#This Row],[Borrower_Credit_Score]],"")</f>
        <v>457</v>
      </c>
    </row>
    <row r="248" spans="1:11" x14ac:dyDescent="0.25">
      <c r="A248" s="2" t="s">
        <v>270</v>
      </c>
      <c r="B248" s="2" t="s">
        <v>15</v>
      </c>
      <c r="C248" s="1">
        <v>45365</v>
      </c>
      <c r="D248">
        <v>22378</v>
      </c>
      <c r="E248">
        <v>712</v>
      </c>
      <c r="F248">
        <v>0.21</v>
      </c>
      <c r="G248">
        <v>0</v>
      </c>
      <c r="H248" s="2" t="s">
        <v>41</v>
      </c>
      <c r="I248" s="2" t="s">
        <v>13</v>
      </c>
      <c r="J248">
        <v>29</v>
      </c>
      <c r="K248">
        <f>IF(AND(Banking_Credit_Risk_Dirty[[#This Row],[Borrower_Credit_Score]]&gt;=300,Banking_Credit_Risk_Dirty[[#This Row],[Borrower_Credit_Score]]&lt;=850),Banking_Credit_Risk_Dirty[[#This Row],[Borrower_Credit_Score]],"")</f>
        <v>712</v>
      </c>
    </row>
    <row r="249" spans="1:11" x14ac:dyDescent="0.25">
      <c r="A249" s="2" t="s">
        <v>271</v>
      </c>
      <c r="B249" s="2" t="s">
        <v>15</v>
      </c>
      <c r="C249" s="1">
        <v>45630</v>
      </c>
      <c r="D249">
        <v>9631</v>
      </c>
      <c r="E249">
        <v>520</v>
      </c>
      <c r="F249">
        <v>0.35</v>
      </c>
      <c r="G249">
        <v>0</v>
      </c>
      <c r="H249" s="2" t="s">
        <v>27</v>
      </c>
      <c r="I249" s="2" t="s">
        <v>13</v>
      </c>
      <c r="J249">
        <v>21</v>
      </c>
      <c r="K249">
        <f>IF(AND(Banking_Credit_Risk_Dirty[[#This Row],[Borrower_Credit_Score]]&gt;=300,Banking_Credit_Risk_Dirty[[#This Row],[Borrower_Credit_Score]]&lt;=850),Banking_Credit_Risk_Dirty[[#This Row],[Borrower_Credit_Score]],"")</f>
        <v>520</v>
      </c>
    </row>
    <row r="250" spans="1:11" x14ac:dyDescent="0.25">
      <c r="A250" s="2" t="s">
        <v>272</v>
      </c>
      <c r="B250" s="2" t="s">
        <v>11</v>
      </c>
      <c r="C250" s="1">
        <v>45903</v>
      </c>
      <c r="D250">
        <v>92748</v>
      </c>
      <c r="E250">
        <v>802</v>
      </c>
      <c r="F250">
        <v>0.38</v>
      </c>
      <c r="G250">
        <v>0</v>
      </c>
      <c r="H250" s="2" t="s">
        <v>22</v>
      </c>
      <c r="I250" s="2" t="s">
        <v>13</v>
      </c>
      <c r="J250">
        <v>12</v>
      </c>
      <c r="K250">
        <f>IF(AND(Banking_Credit_Risk_Dirty[[#This Row],[Borrower_Credit_Score]]&gt;=300,Banking_Credit_Risk_Dirty[[#This Row],[Borrower_Credit_Score]]&lt;=850),Banking_Credit_Risk_Dirty[[#This Row],[Borrower_Credit_Score]],"")</f>
        <v>802</v>
      </c>
    </row>
    <row r="251" spans="1:11" x14ac:dyDescent="0.25">
      <c r="A251" s="2" t="s">
        <v>273</v>
      </c>
      <c r="B251" s="2" t="s">
        <v>15</v>
      </c>
      <c r="C251" s="1">
        <v>45539</v>
      </c>
      <c r="D251">
        <v>47263</v>
      </c>
      <c r="E251">
        <v>673</v>
      </c>
      <c r="F251">
        <v>0.16</v>
      </c>
      <c r="G251">
        <v>1</v>
      </c>
      <c r="H251" s="2" t="s">
        <v>19</v>
      </c>
      <c r="I251" s="2" t="s">
        <v>23</v>
      </c>
      <c r="J251">
        <v>24</v>
      </c>
      <c r="K251">
        <f>IF(AND(Banking_Credit_Risk_Dirty[[#This Row],[Borrower_Credit_Score]]&gt;=300,Banking_Credit_Risk_Dirty[[#This Row],[Borrower_Credit_Score]]&lt;=850),Banking_Credit_Risk_Dirty[[#This Row],[Borrower_Credit_Score]],"")</f>
        <v>673</v>
      </c>
    </row>
    <row r="252" spans="1:11" x14ac:dyDescent="0.25">
      <c r="A252" s="2" t="s">
        <v>274</v>
      </c>
      <c r="B252" s="2" t="s">
        <v>21</v>
      </c>
      <c r="C252" s="1">
        <v>45656</v>
      </c>
      <c r="D252">
        <v>22753</v>
      </c>
      <c r="E252">
        <v>689</v>
      </c>
      <c r="F252">
        <v>0.23</v>
      </c>
      <c r="G252">
        <v>6</v>
      </c>
      <c r="H252" s="2" t="s">
        <v>27</v>
      </c>
      <c r="I252" s="2" t="s">
        <v>17</v>
      </c>
      <c r="J252">
        <v>20</v>
      </c>
      <c r="K252">
        <f>IF(AND(Banking_Credit_Risk_Dirty[[#This Row],[Borrower_Credit_Score]]&gt;=300,Banking_Credit_Risk_Dirty[[#This Row],[Borrower_Credit_Score]]&lt;=850),Banking_Credit_Risk_Dirty[[#This Row],[Borrower_Credit_Score]],"")</f>
        <v>689</v>
      </c>
    </row>
    <row r="253" spans="1:11" x14ac:dyDescent="0.25">
      <c r="A253" s="2" t="s">
        <v>275</v>
      </c>
      <c r="B253" s="2" t="s">
        <v>21</v>
      </c>
      <c r="C253" s="1">
        <v>45477</v>
      </c>
      <c r="D253">
        <v>94847</v>
      </c>
      <c r="E253">
        <v>0</v>
      </c>
      <c r="F253">
        <v>0.45</v>
      </c>
      <c r="G253">
        <v>0</v>
      </c>
      <c r="H253" s="2" t="s">
        <v>27</v>
      </c>
      <c r="I253" s="2" t="s">
        <v>13</v>
      </c>
      <c r="J253">
        <v>26</v>
      </c>
      <c r="K253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254" spans="1:11" x14ac:dyDescent="0.25">
      <c r="A254" s="2" t="s">
        <v>276</v>
      </c>
      <c r="B254" s="2" t="s">
        <v>15</v>
      </c>
      <c r="C254" s="1">
        <v>45934</v>
      </c>
      <c r="D254">
        <v>77924</v>
      </c>
      <c r="E254">
        <v>779</v>
      </c>
      <c r="F254">
        <v>0.17</v>
      </c>
      <c r="G254">
        <v>0</v>
      </c>
      <c r="H254" s="2" t="s">
        <v>12</v>
      </c>
      <c r="I254" s="2" t="s">
        <v>13</v>
      </c>
      <c r="J254">
        <v>11</v>
      </c>
      <c r="K254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255" spans="1:11" x14ac:dyDescent="0.25">
      <c r="A255" s="2" t="s">
        <v>277</v>
      </c>
      <c r="B255" s="2" t="s">
        <v>21</v>
      </c>
      <c r="C255" s="1">
        <v>45715</v>
      </c>
      <c r="D255">
        <v>18802</v>
      </c>
      <c r="E255">
        <v>684</v>
      </c>
      <c r="F255">
        <v>0.25</v>
      </c>
      <c r="G255">
        <v>0</v>
      </c>
      <c r="H255" s="2" t="s">
        <v>12</v>
      </c>
      <c r="I255" s="2" t="s">
        <v>13</v>
      </c>
      <c r="J255">
        <v>18</v>
      </c>
      <c r="K255">
        <f>IF(AND(Banking_Credit_Risk_Dirty[[#This Row],[Borrower_Credit_Score]]&gt;=300,Banking_Credit_Risk_Dirty[[#This Row],[Borrower_Credit_Score]]&lt;=850),Banking_Credit_Risk_Dirty[[#This Row],[Borrower_Credit_Score]],"")</f>
        <v>684</v>
      </c>
    </row>
    <row r="256" spans="1:11" x14ac:dyDescent="0.25">
      <c r="A256" s="2" t="s">
        <v>278</v>
      </c>
      <c r="B256" s="2" t="s">
        <v>15</v>
      </c>
      <c r="C256" s="1">
        <v>45402</v>
      </c>
      <c r="D256">
        <v>17389</v>
      </c>
      <c r="E256">
        <v>637</v>
      </c>
      <c r="F256">
        <v>0.55000000000000004</v>
      </c>
      <c r="G256">
        <v>6</v>
      </c>
      <c r="H256" s="2" t="s">
        <v>12</v>
      </c>
      <c r="I256" s="2" t="s">
        <v>23</v>
      </c>
      <c r="J256">
        <v>28</v>
      </c>
      <c r="K256">
        <f>IF(AND(Banking_Credit_Risk_Dirty[[#This Row],[Borrower_Credit_Score]]&gt;=300,Banking_Credit_Risk_Dirty[[#This Row],[Borrower_Credit_Score]]&lt;=850),Banking_Credit_Risk_Dirty[[#This Row],[Borrower_Credit_Score]],"")</f>
        <v>637</v>
      </c>
    </row>
    <row r="257" spans="1:11" x14ac:dyDescent="0.25">
      <c r="A257" s="2" t="s">
        <v>279</v>
      </c>
      <c r="B257" s="2" t="s">
        <v>21</v>
      </c>
      <c r="C257" s="1">
        <v>45370</v>
      </c>
      <c r="D257">
        <v>113426</v>
      </c>
      <c r="E257">
        <v>552</v>
      </c>
      <c r="F257">
        <v>0.21</v>
      </c>
      <c r="G257">
        <v>0</v>
      </c>
      <c r="H257" s="2" t="s">
        <v>19</v>
      </c>
      <c r="I257" s="2" t="s">
        <v>13</v>
      </c>
      <c r="J257">
        <v>29</v>
      </c>
      <c r="K257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258" spans="1:11" x14ac:dyDescent="0.25">
      <c r="A258" s="2" t="s">
        <v>280</v>
      </c>
      <c r="B258" s="2" t="s">
        <v>21</v>
      </c>
      <c r="C258" s="1">
        <v>45387</v>
      </c>
      <c r="D258">
        <v>149596</v>
      </c>
      <c r="E258">
        <v>493</v>
      </c>
      <c r="F258">
        <v>0.18</v>
      </c>
      <c r="G258">
        <v>0</v>
      </c>
      <c r="H258" s="2" t="s">
        <v>27</v>
      </c>
      <c r="I258" s="2" t="s">
        <v>13</v>
      </c>
      <c r="J258">
        <v>29</v>
      </c>
      <c r="K258">
        <f>IF(AND(Banking_Credit_Risk_Dirty[[#This Row],[Borrower_Credit_Score]]&gt;=300,Banking_Credit_Risk_Dirty[[#This Row],[Borrower_Credit_Score]]&lt;=850),Banking_Credit_Risk_Dirty[[#This Row],[Borrower_Credit_Score]],"")</f>
        <v>493</v>
      </c>
    </row>
    <row r="259" spans="1:11" x14ac:dyDescent="0.25">
      <c r="A259" s="2" t="s">
        <v>281</v>
      </c>
      <c r="B259" s="2" t="s">
        <v>15</v>
      </c>
      <c r="C259" s="1">
        <v>45936</v>
      </c>
      <c r="D259">
        <v>129834</v>
      </c>
      <c r="E259">
        <v>627</v>
      </c>
      <c r="F259">
        <v>0.2</v>
      </c>
      <c r="G259">
        <v>0</v>
      </c>
      <c r="H259" s="2" t="s">
        <v>41</v>
      </c>
      <c r="I259" s="2" t="s">
        <v>13</v>
      </c>
      <c r="J259">
        <v>11</v>
      </c>
      <c r="K259">
        <f>IF(AND(Banking_Credit_Risk_Dirty[[#This Row],[Borrower_Credit_Score]]&gt;=300,Banking_Credit_Risk_Dirty[[#This Row],[Borrower_Credit_Score]]&lt;=850),Banking_Credit_Risk_Dirty[[#This Row],[Borrower_Credit_Score]],"")</f>
        <v>627</v>
      </c>
    </row>
    <row r="260" spans="1:11" x14ac:dyDescent="0.25">
      <c r="A260" s="2" t="s">
        <v>282</v>
      </c>
      <c r="B260" s="2" t="s">
        <v>15</v>
      </c>
      <c r="C260" s="1">
        <v>45873</v>
      </c>
      <c r="D260">
        <v>73049</v>
      </c>
      <c r="E260">
        <v>498</v>
      </c>
      <c r="F260">
        <v>0.56999999999999995</v>
      </c>
      <c r="G260">
        <v>0</v>
      </c>
      <c r="H260" s="2" t="s">
        <v>41</v>
      </c>
      <c r="I260" s="2" t="s">
        <v>13</v>
      </c>
      <c r="J260">
        <v>13</v>
      </c>
      <c r="K260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261" spans="1:11" x14ac:dyDescent="0.25">
      <c r="A261" s="2" t="s">
        <v>283</v>
      </c>
      <c r="B261" s="2" t="s">
        <v>15</v>
      </c>
      <c r="C261" s="1">
        <v>45347</v>
      </c>
      <c r="D261">
        <v>75746</v>
      </c>
      <c r="E261">
        <v>813</v>
      </c>
      <c r="F261">
        <v>0.22</v>
      </c>
      <c r="G261">
        <v>0</v>
      </c>
      <c r="H261" s="2" t="s">
        <v>16</v>
      </c>
      <c r="I261" s="2" t="s">
        <v>13</v>
      </c>
      <c r="J261">
        <v>30</v>
      </c>
      <c r="K261">
        <f>IF(AND(Banking_Credit_Risk_Dirty[[#This Row],[Borrower_Credit_Score]]&gt;=300,Banking_Credit_Risk_Dirty[[#This Row],[Borrower_Credit_Score]]&lt;=850),Banking_Credit_Risk_Dirty[[#This Row],[Borrower_Credit_Score]],"")</f>
        <v>813</v>
      </c>
    </row>
    <row r="262" spans="1:11" x14ac:dyDescent="0.25">
      <c r="A262" s="2" t="s">
        <v>284</v>
      </c>
      <c r="B262" s="2" t="s">
        <v>11</v>
      </c>
      <c r="C262" s="1">
        <v>45569</v>
      </c>
      <c r="D262">
        <v>41380</v>
      </c>
      <c r="E262">
        <v>587</v>
      </c>
      <c r="F262">
        <v>0.19</v>
      </c>
      <c r="G262">
        <v>0</v>
      </c>
      <c r="H262" s="2" t="s">
        <v>16</v>
      </c>
      <c r="I262" s="2" t="s">
        <v>13</v>
      </c>
      <c r="J262">
        <v>23</v>
      </c>
      <c r="K262">
        <f>IF(AND(Banking_Credit_Risk_Dirty[[#This Row],[Borrower_Credit_Score]]&gt;=300,Banking_Credit_Risk_Dirty[[#This Row],[Borrower_Credit_Score]]&lt;=850),Banking_Credit_Risk_Dirty[[#This Row],[Borrower_Credit_Score]],"")</f>
        <v>587</v>
      </c>
    </row>
    <row r="263" spans="1:11" x14ac:dyDescent="0.25">
      <c r="A263" s="2" t="s">
        <v>285</v>
      </c>
      <c r="B263" s="2" t="s">
        <v>15</v>
      </c>
      <c r="C263" s="1">
        <v>45717</v>
      </c>
      <c r="D263">
        <v>58409</v>
      </c>
      <c r="E263">
        <v>845</v>
      </c>
      <c r="F263">
        <v>0.35</v>
      </c>
      <c r="G263">
        <v>0</v>
      </c>
      <c r="H263" s="2" t="s">
        <v>12</v>
      </c>
      <c r="I263" s="2" t="s">
        <v>23</v>
      </c>
      <c r="J263">
        <v>18</v>
      </c>
      <c r="K263">
        <f>IF(AND(Banking_Credit_Risk_Dirty[[#This Row],[Borrower_Credit_Score]]&gt;=300,Banking_Credit_Risk_Dirty[[#This Row],[Borrower_Credit_Score]]&lt;=850),Banking_Credit_Risk_Dirty[[#This Row],[Borrower_Credit_Score]],"")</f>
        <v>845</v>
      </c>
    </row>
    <row r="264" spans="1:11" x14ac:dyDescent="0.25">
      <c r="A264" s="2" t="s">
        <v>286</v>
      </c>
      <c r="B264" s="2" t="s">
        <v>15</v>
      </c>
      <c r="C264" s="1">
        <v>45772</v>
      </c>
      <c r="D264">
        <v>116563</v>
      </c>
      <c r="E264">
        <v>587</v>
      </c>
      <c r="F264">
        <v>0.42</v>
      </c>
      <c r="G264">
        <v>0</v>
      </c>
      <c r="H264" s="2" t="s">
        <v>19</v>
      </c>
      <c r="I264" s="2" t="s">
        <v>13</v>
      </c>
      <c r="J264">
        <v>16</v>
      </c>
      <c r="K264">
        <f>IF(AND(Banking_Credit_Risk_Dirty[[#This Row],[Borrower_Credit_Score]]&gt;=300,Banking_Credit_Risk_Dirty[[#This Row],[Borrower_Credit_Score]]&lt;=850),Banking_Credit_Risk_Dirty[[#This Row],[Borrower_Credit_Score]],"")</f>
        <v>587</v>
      </c>
    </row>
    <row r="265" spans="1:11" x14ac:dyDescent="0.25">
      <c r="A265" s="2" t="s">
        <v>287</v>
      </c>
      <c r="B265" s="2" t="s">
        <v>15</v>
      </c>
      <c r="C265" s="1">
        <v>45886</v>
      </c>
      <c r="D265">
        <v>92501</v>
      </c>
      <c r="E265">
        <v>588</v>
      </c>
      <c r="F265">
        <v>0.56999999999999995</v>
      </c>
      <c r="G265">
        <v>2</v>
      </c>
      <c r="H265" s="2" t="s">
        <v>41</v>
      </c>
      <c r="I265" s="2" t="s">
        <v>17</v>
      </c>
      <c r="J265">
        <v>12</v>
      </c>
      <c r="K265">
        <f>IF(AND(Banking_Credit_Risk_Dirty[[#This Row],[Borrower_Credit_Score]]&gt;=300,Banking_Credit_Risk_Dirty[[#This Row],[Borrower_Credit_Score]]&lt;=850),Banking_Credit_Risk_Dirty[[#This Row],[Borrower_Credit_Score]],"")</f>
        <v>588</v>
      </c>
    </row>
    <row r="266" spans="1:11" x14ac:dyDescent="0.25">
      <c r="A266" s="2" t="s">
        <v>288</v>
      </c>
      <c r="B266" s="2" t="s">
        <v>21</v>
      </c>
      <c r="C266" s="1">
        <v>45611</v>
      </c>
      <c r="D266">
        <v>112135</v>
      </c>
      <c r="E266">
        <v>473</v>
      </c>
      <c r="F266">
        <v>0.47</v>
      </c>
      <c r="G266">
        <v>6</v>
      </c>
      <c r="H266" s="2" t="s">
        <v>19</v>
      </c>
      <c r="I266" s="2" t="s">
        <v>23</v>
      </c>
      <c r="J266">
        <v>21</v>
      </c>
      <c r="K266">
        <f>IF(AND(Banking_Credit_Risk_Dirty[[#This Row],[Borrower_Credit_Score]]&gt;=300,Banking_Credit_Risk_Dirty[[#This Row],[Borrower_Credit_Score]]&lt;=850),Banking_Credit_Risk_Dirty[[#This Row],[Borrower_Credit_Score]],"")</f>
        <v>473</v>
      </c>
    </row>
    <row r="267" spans="1:11" x14ac:dyDescent="0.25">
      <c r="A267" s="2" t="s">
        <v>289</v>
      </c>
      <c r="B267" s="2" t="s">
        <v>21</v>
      </c>
      <c r="C267" s="1">
        <v>45315</v>
      </c>
      <c r="D267">
        <v>86022</v>
      </c>
      <c r="E267">
        <v>779</v>
      </c>
      <c r="F267">
        <v>0.56999999999999995</v>
      </c>
      <c r="G267">
        <v>3</v>
      </c>
      <c r="H267" s="2" t="s">
        <v>12</v>
      </c>
      <c r="I267" s="2" t="s">
        <v>17</v>
      </c>
      <c r="J267">
        <v>31</v>
      </c>
      <c r="K267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268" spans="1:11" x14ac:dyDescent="0.25">
      <c r="A268" s="2" t="s">
        <v>290</v>
      </c>
      <c r="B268" s="2" t="s">
        <v>15</v>
      </c>
      <c r="C268" s="1">
        <v>45503</v>
      </c>
      <c r="D268">
        <v>123293</v>
      </c>
      <c r="E268">
        <v>724</v>
      </c>
      <c r="F268">
        <v>0.57999999999999996</v>
      </c>
      <c r="G268">
        <v>1</v>
      </c>
      <c r="H268" s="2" t="s">
        <v>22</v>
      </c>
      <c r="I268" s="2" t="s">
        <v>23</v>
      </c>
      <c r="J268">
        <v>25</v>
      </c>
      <c r="K268">
        <f>IF(AND(Banking_Credit_Risk_Dirty[[#This Row],[Borrower_Credit_Score]]&gt;=300,Banking_Credit_Risk_Dirty[[#This Row],[Borrower_Credit_Score]]&lt;=850),Banking_Credit_Risk_Dirty[[#This Row],[Borrower_Credit_Score]],"")</f>
        <v>724</v>
      </c>
    </row>
    <row r="269" spans="1:11" x14ac:dyDescent="0.25">
      <c r="A269" s="2" t="s">
        <v>291</v>
      </c>
      <c r="B269" s="2" t="s">
        <v>15</v>
      </c>
      <c r="C269" s="1">
        <v>45484</v>
      </c>
      <c r="D269">
        <v>138394</v>
      </c>
      <c r="E269">
        <v>790</v>
      </c>
      <c r="F269">
        <v>0.18</v>
      </c>
      <c r="G269">
        <v>0</v>
      </c>
      <c r="H269" s="2" t="s">
        <v>19</v>
      </c>
      <c r="I269" s="2" t="s">
        <v>13</v>
      </c>
      <c r="J269">
        <v>25</v>
      </c>
      <c r="K269">
        <f>IF(AND(Banking_Credit_Risk_Dirty[[#This Row],[Borrower_Credit_Score]]&gt;=300,Banking_Credit_Risk_Dirty[[#This Row],[Borrower_Credit_Score]]&lt;=850),Banking_Credit_Risk_Dirty[[#This Row],[Borrower_Credit_Score]],"")</f>
        <v>790</v>
      </c>
    </row>
    <row r="270" spans="1:11" x14ac:dyDescent="0.25">
      <c r="A270" s="2" t="s">
        <v>292</v>
      </c>
      <c r="B270" s="2" t="s">
        <v>11</v>
      </c>
      <c r="C270" s="1">
        <v>45826</v>
      </c>
      <c r="D270">
        <v>96643</v>
      </c>
      <c r="E270">
        <v>670</v>
      </c>
      <c r="F270">
        <v>0.25</v>
      </c>
      <c r="G270">
        <v>0</v>
      </c>
      <c r="H270" s="2" t="s">
        <v>27</v>
      </c>
      <c r="I270" s="2" t="s">
        <v>13</v>
      </c>
      <c r="J270">
        <v>14</v>
      </c>
      <c r="K270">
        <f>IF(AND(Banking_Credit_Risk_Dirty[[#This Row],[Borrower_Credit_Score]]&gt;=300,Banking_Credit_Risk_Dirty[[#This Row],[Borrower_Credit_Score]]&lt;=850),Banking_Credit_Risk_Dirty[[#This Row],[Borrower_Credit_Score]],"")</f>
        <v>670</v>
      </c>
    </row>
    <row r="271" spans="1:11" x14ac:dyDescent="0.25">
      <c r="A271" s="2" t="s">
        <v>293</v>
      </c>
      <c r="B271" s="2" t="s">
        <v>43</v>
      </c>
      <c r="C271" s="1">
        <v>45734</v>
      </c>
      <c r="D271">
        <v>119840</v>
      </c>
      <c r="E271">
        <v>786</v>
      </c>
      <c r="F271">
        <v>0.48</v>
      </c>
      <c r="G271">
        <v>0</v>
      </c>
      <c r="H271" s="2" t="s">
        <v>12</v>
      </c>
      <c r="I271" s="2" t="s">
        <v>13</v>
      </c>
      <c r="J271">
        <v>17</v>
      </c>
      <c r="K271">
        <f>IF(AND(Banking_Credit_Risk_Dirty[[#This Row],[Borrower_Credit_Score]]&gt;=300,Banking_Credit_Risk_Dirty[[#This Row],[Borrower_Credit_Score]]&lt;=850),Banking_Credit_Risk_Dirty[[#This Row],[Borrower_Credit_Score]],"")</f>
        <v>786</v>
      </c>
    </row>
    <row r="272" spans="1:11" x14ac:dyDescent="0.25">
      <c r="A272" s="2" t="s">
        <v>294</v>
      </c>
      <c r="B272" s="2" t="s">
        <v>15</v>
      </c>
      <c r="C272" s="1">
        <v>45545</v>
      </c>
      <c r="D272">
        <v>114803</v>
      </c>
      <c r="E272">
        <v>759</v>
      </c>
      <c r="F272">
        <v>0.25</v>
      </c>
      <c r="G272">
        <v>2</v>
      </c>
      <c r="H272" s="2" t="s">
        <v>12</v>
      </c>
      <c r="I272" s="2" t="s">
        <v>23</v>
      </c>
      <c r="J272">
        <v>23</v>
      </c>
      <c r="K272">
        <f>IF(AND(Banking_Credit_Risk_Dirty[[#This Row],[Borrower_Credit_Score]]&gt;=300,Banking_Credit_Risk_Dirty[[#This Row],[Borrower_Credit_Score]]&lt;=850),Banking_Credit_Risk_Dirty[[#This Row],[Borrower_Credit_Score]],"")</f>
        <v>759</v>
      </c>
    </row>
    <row r="273" spans="1:11" x14ac:dyDescent="0.25">
      <c r="A273" s="2" t="s">
        <v>295</v>
      </c>
      <c r="B273" s="2" t="s">
        <v>21</v>
      </c>
      <c r="C273" s="1">
        <v>45848</v>
      </c>
      <c r="D273">
        <v>90816</v>
      </c>
      <c r="E273">
        <v>626</v>
      </c>
      <c r="F273">
        <v>0.21</v>
      </c>
      <c r="G273">
        <v>3</v>
      </c>
      <c r="H273" s="2" t="s">
        <v>12</v>
      </c>
      <c r="I273" s="2" t="s">
        <v>23</v>
      </c>
      <c r="J273">
        <v>13</v>
      </c>
      <c r="K273">
        <f>IF(AND(Banking_Credit_Risk_Dirty[[#This Row],[Borrower_Credit_Score]]&gt;=300,Banking_Credit_Risk_Dirty[[#This Row],[Borrower_Credit_Score]]&lt;=850),Banking_Credit_Risk_Dirty[[#This Row],[Borrower_Credit_Score]],"")</f>
        <v>626</v>
      </c>
    </row>
    <row r="274" spans="1:11" x14ac:dyDescent="0.25">
      <c r="A274" s="2" t="s">
        <v>296</v>
      </c>
      <c r="B274" s="2" t="s">
        <v>15</v>
      </c>
      <c r="C274" s="1">
        <v>45538</v>
      </c>
      <c r="D274">
        <v>15261</v>
      </c>
      <c r="E274">
        <v>749</v>
      </c>
      <c r="F274">
        <v>0.37</v>
      </c>
      <c r="G274">
        <v>1</v>
      </c>
      <c r="H274" s="2" t="s">
        <v>19</v>
      </c>
      <c r="I274" s="2" t="s">
        <v>23</v>
      </c>
      <c r="J274">
        <v>24</v>
      </c>
      <c r="K274">
        <f>IF(AND(Banking_Credit_Risk_Dirty[[#This Row],[Borrower_Credit_Score]]&gt;=300,Banking_Credit_Risk_Dirty[[#This Row],[Borrower_Credit_Score]]&lt;=850),Banking_Credit_Risk_Dirty[[#This Row],[Borrower_Credit_Score]],"")</f>
        <v>749</v>
      </c>
    </row>
    <row r="275" spans="1:11" x14ac:dyDescent="0.25">
      <c r="A275" s="2" t="s">
        <v>297</v>
      </c>
      <c r="B275" s="2" t="s">
        <v>21</v>
      </c>
      <c r="C275" s="1">
        <v>45673</v>
      </c>
      <c r="D275">
        <v>131717</v>
      </c>
      <c r="E275">
        <v>627</v>
      </c>
      <c r="F275">
        <v>0.6</v>
      </c>
      <c r="G275">
        <v>0</v>
      </c>
      <c r="H275" s="2" t="s">
        <v>19</v>
      </c>
      <c r="I275" s="2" t="s">
        <v>13</v>
      </c>
      <c r="J275">
        <v>19</v>
      </c>
      <c r="K275">
        <f>IF(AND(Banking_Credit_Risk_Dirty[[#This Row],[Borrower_Credit_Score]]&gt;=300,Banking_Credit_Risk_Dirty[[#This Row],[Borrower_Credit_Score]]&lt;=850),Banking_Credit_Risk_Dirty[[#This Row],[Borrower_Credit_Score]],"")</f>
        <v>627</v>
      </c>
    </row>
    <row r="276" spans="1:11" x14ac:dyDescent="0.25">
      <c r="A276" s="2" t="s">
        <v>298</v>
      </c>
      <c r="B276" s="2" t="s">
        <v>21</v>
      </c>
      <c r="C276" s="1">
        <v>45939</v>
      </c>
      <c r="D276">
        <v>50328</v>
      </c>
      <c r="E276">
        <v>536</v>
      </c>
      <c r="F276">
        <v>0.28999999999999998</v>
      </c>
      <c r="G276">
        <v>0</v>
      </c>
      <c r="H276" s="2" t="s">
        <v>19</v>
      </c>
      <c r="I276" s="2" t="s">
        <v>13</v>
      </c>
      <c r="J276">
        <v>11</v>
      </c>
      <c r="K276">
        <f>IF(AND(Banking_Credit_Risk_Dirty[[#This Row],[Borrower_Credit_Score]]&gt;=300,Banking_Credit_Risk_Dirty[[#This Row],[Borrower_Credit_Score]]&lt;=850),Banking_Credit_Risk_Dirty[[#This Row],[Borrower_Credit_Score]],"")</f>
        <v>536</v>
      </c>
    </row>
    <row r="277" spans="1:11" x14ac:dyDescent="0.25">
      <c r="A277" s="2" t="s">
        <v>299</v>
      </c>
      <c r="B277" s="2" t="s">
        <v>21</v>
      </c>
      <c r="C277" s="1">
        <v>45983</v>
      </c>
      <c r="D277">
        <v>90693</v>
      </c>
      <c r="E277">
        <v>731</v>
      </c>
      <c r="F277">
        <v>0.31</v>
      </c>
      <c r="G277">
        <v>0</v>
      </c>
      <c r="H277" s="2" t="s">
        <v>19</v>
      </c>
      <c r="I277" s="2" t="s">
        <v>17</v>
      </c>
      <c r="J277">
        <v>9</v>
      </c>
      <c r="K277">
        <f>IF(AND(Banking_Credit_Risk_Dirty[[#This Row],[Borrower_Credit_Score]]&gt;=300,Banking_Credit_Risk_Dirty[[#This Row],[Borrower_Credit_Score]]&lt;=850),Banking_Credit_Risk_Dirty[[#This Row],[Borrower_Credit_Score]],"")</f>
        <v>731</v>
      </c>
    </row>
    <row r="278" spans="1:11" x14ac:dyDescent="0.25">
      <c r="A278" s="2" t="s">
        <v>300</v>
      </c>
      <c r="B278" s="2" t="s">
        <v>21</v>
      </c>
      <c r="C278" s="1">
        <v>45839</v>
      </c>
      <c r="D278">
        <v>79612</v>
      </c>
      <c r="E278">
        <v>560</v>
      </c>
      <c r="F278">
        <v>0.55000000000000004</v>
      </c>
      <c r="G278">
        <v>0</v>
      </c>
      <c r="H278" s="2" t="s">
        <v>19</v>
      </c>
      <c r="I278" s="2" t="s">
        <v>13</v>
      </c>
      <c r="J278">
        <v>14</v>
      </c>
      <c r="K278">
        <f>IF(AND(Banking_Credit_Risk_Dirty[[#This Row],[Borrower_Credit_Score]]&gt;=300,Banking_Credit_Risk_Dirty[[#This Row],[Borrower_Credit_Score]]&lt;=850),Banking_Credit_Risk_Dirty[[#This Row],[Borrower_Credit_Score]],"")</f>
        <v>560</v>
      </c>
    </row>
    <row r="279" spans="1:11" x14ac:dyDescent="0.25">
      <c r="A279" s="2" t="s">
        <v>301</v>
      </c>
      <c r="B279" s="2" t="s">
        <v>11</v>
      </c>
      <c r="C279" s="1">
        <v>45752</v>
      </c>
      <c r="D279">
        <v>142391</v>
      </c>
      <c r="E279">
        <v>606</v>
      </c>
      <c r="F279">
        <v>0.57999999999999996</v>
      </c>
      <c r="G279">
        <v>0</v>
      </c>
      <c r="H279" s="2" t="s">
        <v>22</v>
      </c>
      <c r="I279" s="2" t="s">
        <v>13</v>
      </c>
      <c r="J279">
        <v>17</v>
      </c>
      <c r="K279">
        <f>IF(AND(Banking_Credit_Risk_Dirty[[#This Row],[Borrower_Credit_Score]]&gt;=300,Banking_Credit_Risk_Dirty[[#This Row],[Borrower_Credit_Score]]&lt;=850),Banking_Credit_Risk_Dirty[[#This Row],[Borrower_Credit_Score]],"")</f>
        <v>606</v>
      </c>
    </row>
    <row r="280" spans="1:11" x14ac:dyDescent="0.25">
      <c r="A280" s="2" t="s">
        <v>302</v>
      </c>
      <c r="B280" s="2" t="s">
        <v>15</v>
      </c>
      <c r="C280" s="1">
        <v>45753</v>
      </c>
      <c r="D280">
        <v>138737</v>
      </c>
      <c r="E280">
        <v>595</v>
      </c>
      <c r="F280">
        <v>0.15</v>
      </c>
      <c r="G280">
        <v>0</v>
      </c>
      <c r="H280" s="2" t="s">
        <v>19</v>
      </c>
      <c r="I280" s="2" t="s">
        <v>13</v>
      </c>
      <c r="J280">
        <v>17</v>
      </c>
      <c r="K280">
        <f>IF(AND(Banking_Credit_Risk_Dirty[[#This Row],[Borrower_Credit_Score]]&gt;=300,Banking_Credit_Risk_Dirty[[#This Row],[Borrower_Credit_Score]]&lt;=850),Banking_Credit_Risk_Dirty[[#This Row],[Borrower_Credit_Score]],"")</f>
        <v>595</v>
      </c>
    </row>
    <row r="281" spans="1:11" x14ac:dyDescent="0.25">
      <c r="A281" s="2" t="s">
        <v>303</v>
      </c>
      <c r="B281" s="2" t="s">
        <v>15</v>
      </c>
      <c r="C281" s="1">
        <v>45977</v>
      </c>
      <c r="D281">
        <v>90181</v>
      </c>
      <c r="E281">
        <v>714</v>
      </c>
      <c r="F281">
        <v>0.65</v>
      </c>
      <c r="G281">
        <v>0</v>
      </c>
      <c r="H281" s="2" t="s">
        <v>41</v>
      </c>
      <c r="I281" s="2" t="s">
        <v>13</v>
      </c>
      <c r="J281">
        <v>9</v>
      </c>
      <c r="K281">
        <f>IF(AND(Banking_Credit_Risk_Dirty[[#This Row],[Borrower_Credit_Score]]&gt;=300,Banking_Credit_Risk_Dirty[[#This Row],[Borrower_Credit_Score]]&lt;=850),Banking_Credit_Risk_Dirty[[#This Row],[Borrower_Credit_Score]],"")</f>
        <v>714</v>
      </c>
    </row>
    <row r="282" spans="1:11" x14ac:dyDescent="0.25">
      <c r="A282" s="2" t="s">
        <v>304</v>
      </c>
      <c r="B282" s="2" t="s">
        <v>43</v>
      </c>
      <c r="C282" s="1">
        <v>45312</v>
      </c>
      <c r="D282">
        <v>69563</v>
      </c>
      <c r="E282">
        <v>824</v>
      </c>
      <c r="F282">
        <v>0.56000000000000005</v>
      </c>
      <c r="G282">
        <v>0</v>
      </c>
      <c r="H282" s="2" t="s">
        <v>27</v>
      </c>
      <c r="I282" s="2" t="s">
        <v>17</v>
      </c>
      <c r="J282">
        <v>31</v>
      </c>
      <c r="K282">
        <f>IF(AND(Banking_Credit_Risk_Dirty[[#This Row],[Borrower_Credit_Score]]&gt;=300,Banking_Credit_Risk_Dirty[[#This Row],[Borrower_Credit_Score]]&lt;=850),Banking_Credit_Risk_Dirty[[#This Row],[Borrower_Credit_Score]],"")</f>
        <v>824</v>
      </c>
    </row>
    <row r="283" spans="1:11" x14ac:dyDescent="0.25">
      <c r="A283" s="2" t="s">
        <v>305</v>
      </c>
      <c r="B283" s="2" t="s">
        <v>21</v>
      </c>
      <c r="C283" s="1">
        <v>45799</v>
      </c>
      <c r="D283">
        <v>66998</v>
      </c>
      <c r="E283">
        <v>614</v>
      </c>
      <c r="F283">
        <v>0.34</v>
      </c>
      <c r="G283">
        <v>4</v>
      </c>
      <c r="H283" s="2" t="s">
        <v>41</v>
      </c>
      <c r="I283" s="2" t="s">
        <v>17</v>
      </c>
      <c r="J283">
        <v>15</v>
      </c>
      <c r="K283">
        <f>IF(AND(Banking_Credit_Risk_Dirty[[#This Row],[Borrower_Credit_Score]]&gt;=300,Banking_Credit_Risk_Dirty[[#This Row],[Borrower_Credit_Score]]&lt;=850),Banking_Credit_Risk_Dirty[[#This Row],[Borrower_Credit_Score]],"")</f>
        <v>614</v>
      </c>
    </row>
    <row r="284" spans="1:11" x14ac:dyDescent="0.25">
      <c r="A284" s="2" t="s">
        <v>306</v>
      </c>
      <c r="B284" s="2" t="s">
        <v>43</v>
      </c>
      <c r="C284" s="1">
        <v>45593</v>
      </c>
      <c r="D284">
        <v>75638</v>
      </c>
      <c r="E284">
        <v>9999</v>
      </c>
      <c r="F284">
        <v>0.65</v>
      </c>
      <c r="G284">
        <v>5</v>
      </c>
      <c r="H284" s="2" t="s">
        <v>12</v>
      </c>
      <c r="I284" s="2" t="s">
        <v>89</v>
      </c>
      <c r="J284">
        <v>22</v>
      </c>
      <c r="K284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285" spans="1:11" x14ac:dyDescent="0.25">
      <c r="A285" s="2" t="s">
        <v>307</v>
      </c>
      <c r="B285" s="2" t="s">
        <v>21</v>
      </c>
      <c r="C285" s="1">
        <v>45426</v>
      </c>
      <c r="D285">
        <v>71584</v>
      </c>
      <c r="E285">
        <v>612</v>
      </c>
      <c r="F285">
        <v>0.61</v>
      </c>
      <c r="G285">
        <v>0</v>
      </c>
      <c r="H285" s="2" t="s">
        <v>19</v>
      </c>
      <c r="I285" s="2" t="s">
        <v>13</v>
      </c>
      <c r="J285">
        <v>27</v>
      </c>
      <c r="K285">
        <f>IF(AND(Banking_Credit_Risk_Dirty[[#This Row],[Borrower_Credit_Score]]&gt;=300,Banking_Credit_Risk_Dirty[[#This Row],[Borrower_Credit_Score]]&lt;=850),Banking_Credit_Risk_Dirty[[#This Row],[Borrower_Credit_Score]],"")</f>
        <v>612</v>
      </c>
    </row>
    <row r="286" spans="1:11" x14ac:dyDescent="0.25">
      <c r="A286" s="2" t="s">
        <v>308</v>
      </c>
      <c r="B286" s="2" t="s">
        <v>21</v>
      </c>
      <c r="C286" s="1">
        <v>45829</v>
      </c>
      <c r="D286">
        <v>91060</v>
      </c>
      <c r="E286">
        <v>564</v>
      </c>
      <c r="F286">
        <v>0.34</v>
      </c>
      <c r="G286">
        <v>0</v>
      </c>
      <c r="H286" s="2" t="s">
        <v>12</v>
      </c>
      <c r="I286" s="2" t="s">
        <v>13</v>
      </c>
      <c r="J286">
        <v>14</v>
      </c>
      <c r="K286">
        <f>IF(AND(Banking_Credit_Risk_Dirty[[#This Row],[Borrower_Credit_Score]]&gt;=300,Banking_Credit_Risk_Dirty[[#This Row],[Borrower_Credit_Score]]&lt;=850),Banking_Credit_Risk_Dirty[[#This Row],[Borrower_Credit_Score]],"")</f>
        <v>564</v>
      </c>
    </row>
    <row r="287" spans="1:11" x14ac:dyDescent="0.25">
      <c r="A287" s="2" t="s">
        <v>309</v>
      </c>
      <c r="B287" s="2" t="s">
        <v>21</v>
      </c>
      <c r="C287" s="1">
        <v>45714</v>
      </c>
      <c r="D287">
        <v>61249</v>
      </c>
      <c r="E287">
        <v>486</v>
      </c>
      <c r="F287">
        <v>0.16</v>
      </c>
      <c r="G287">
        <v>4</v>
      </c>
      <c r="H287" s="2" t="s">
        <v>16</v>
      </c>
      <c r="I287" s="2" t="s">
        <v>17</v>
      </c>
      <c r="J287">
        <v>18</v>
      </c>
      <c r="K287">
        <f>IF(AND(Banking_Credit_Risk_Dirty[[#This Row],[Borrower_Credit_Score]]&gt;=300,Banking_Credit_Risk_Dirty[[#This Row],[Borrower_Credit_Score]]&lt;=850),Banking_Credit_Risk_Dirty[[#This Row],[Borrower_Credit_Score]],"")</f>
        <v>486</v>
      </c>
    </row>
    <row r="288" spans="1:11" x14ac:dyDescent="0.25">
      <c r="A288" s="2" t="s">
        <v>310</v>
      </c>
      <c r="B288" s="2" t="s">
        <v>11</v>
      </c>
      <c r="C288" s="1">
        <v>45772</v>
      </c>
      <c r="D288">
        <v>30402</v>
      </c>
      <c r="E288">
        <v>496</v>
      </c>
      <c r="F288">
        <v>0.36</v>
      </c>
      <c r="G288">
        <v>1</v>
      </c>
      <c r="H288" s="2" t="s">
        <v>19</v>
      </c>
      <c r="I288" s="2" t="s">
        <v>23</v>
      </c>
      <c r="J288">
        <v>16</v>
      </c>
      <c r="K288">
        <f>IF(AND(Banking_Credit_Risk_Dirty[[#This Row],[Borrower_Credit_Score]]&gt;=300,Banking_Credit_Risk_Dirty[[#This Row],[Borrower_Credit_Score]]&lt;=850),Banking_Credit_Risk_Dirty[[#This Row],[Borrower_Credit_Score]],"")</f>
        <v>496</v>
      </c>
    </row>
    <row r="289" spans="1:11" x14ac:dyDescent="0.25">
      <c r="A289" s="2" t="s">
        <v>311</v>
      </c>
      <c r="B289" s="2" t="s">
        <v>15</v>
      </c>
      <c r="C289" s="1">
        <v>45571</v>
      </c>
      <c r="D289">
        <v>50073</v>
      </c>
      <c r="E289">
        <v>584</v>
      </c>
      <c r="F289">
        <v>0.33</v>
      </c>
      <c r="G289">
        <v>6</v>
      </c>
      <c r="H289" s="2" t="s">
        <v>27</v>
      </c>
      <c r="I289" s="2" t="s">
        <v>17</v>
      </c>
      <c r="J289">
        <v>23</v>
      </c>
      <c r="K289">
        <f>IF(AND(Banking_Credit_Risk_Dirty[[#This Row],[Borrower_Credit_Score]]&gt;=300,Banking_Credit_Risk_Dirty[[#This Row],[Borrower_Credit_Score]]&lt;=850),Banking_Credit_Risk_Dirty[[#This Row],[Borrower_Credit_Score]],"")</f>
        <v>584</v>
      </c>
    </row>
    <row r="290" spans="1:11" x14ac:dyDescent="0.25">
      <c r="A290" s="2" t="s">
        <v>312</v>
      </c>
      <c r="B290" s="2" t="s">
        <v>21</v>
      </c>
      <c r="C290" s="1">
        <v>45499</v>
      </c>
      <c r="D290">
        <v>98188</v>
      </c>
      <c r="E290">
        <v>0</v>
      </c>
      <c r="F290">
        <v>0.5</v>
      </c>
      <c r="G290">
        <v>5</v>
      </c>
      <c r="H290" s="2" t="s">
        <v>16</v>
      </c>
      <c r="I290" s="2" t="s">
        <v>89</v>
      </c>
      <c r="J290">
        <v>25</v>
      </c>
      <c r="K290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291" spans="1:11" x14ac:dyDescent="0.25">
      <c r="A291" s="2" t="s">
        <v>313</v>
      </c>
      <c r="B291" s="2" t="s">
        <v>21</v>
      </c>
      <c r="C291" s="1">
        <v>45655</v>
      </c>
      <c r="D291">
        <v>78840</v>
      </c>
      <c r="E291">
        <v>561</v>
      </c>
      <c r="F291">
        <v>0.23</v>
      </c>
      <c r="G291">
        <v>0</v>
      </c>
      <c r="H291" s="2" t="s">
        <v>19</v>
      </c>
      <c r="I291" s="2" t="s">
        <v>13</v>
      </c>
      <c r="J291">
        <v>20</v>
      </c>
      <c r="K291">
        <f>IF(AND(Banking_Credit_Risk_Dirty[[#This Row],[Borrower_Credit_Score]]&gt;=300,Banking_Credit_Risk_Dirty[[#This Row],[Borrower_Credit_Score]]&lt;=850),Banking_Credit_Risk_Dirty[[#This Row],[Borrower_Credit_Score]],"")</f>
        <v>561</v>
      </c>
    </row>
    <row r="292" spans="1:11" x14ac:dyDescent="0.25">
      <c r="A292" s="2" t="s">
        <v>314</v>
      </c>
      <c r="B292" s="2" t="s">
        <v>15</v>
      </c>
      <c r="C292" s="1">
        <v>45600</v>
      </c>
      <c r="D292">
        <v>41741</v>
      </c>
      <c r="E292">
        <v>739</v>
      </c>
      <c r="F292">
        <v>0.19</v>
      </c>
      <c r="G292">
        <v>0</v>
      </c>
      <c r="H292" s="2" t="s">
        <v>41</v>
      </c>
      <c r="I292" s="2" t="s">
        <v>13</v>
      </c>
      <c r="J292">
        <v>22</v>
      </c>
      <c r="K292">
        <f>IF(AND(Banking_Credit_Risk_Dirty[[#This Row],[Borrower_Credit_Score]]&gt;=300,Banking_Credit_Risk_Dirty[[#This Row],[Borrower_Credit_Score]]&lt;=850),Banking_Credit_Risk_Dirty[[#This Row],[Borrower_Credit_Score]],"")</f>
        <v>739</v>
      </c>
    </row>
    <row r="293" spans="1:11" x14ac:dyDescent="0.25">
      <c r="A293" s="2" t="s">
        <v>315</v>
      </c>
      <c r="B293" s="2" t="s">
        <v>15</v>
      </c>
      <c r="C293" s="1">
        <v>45671</v>
      </c>
      <c r="D293">
        <v>55702</v>
      </c>
      <c r="E293">
        <v>630</v>
      </c>
      <c r="F293">
        <v>0.23</v>
      </c>
      <c r="G293">
        <v>2</v>
      </c>
      <c r="H293" s="2" t="s">
        <v>19</v>
      </c>
      <c r="I293" s="2" t="s">
        <v>17</v>
      </c>
      <c r="J293">
        <v>19</v>
      </c>
      <c r="K293">
        <f>IF(AND(Banking_Credit_Risk_Dirty[[#This Row],[Borrower_Credit_Score]]&gt;=300,Banking_Credit_Risk_Dirty[[#This Row],[Borrower_Credit_Score]]&lt;=850),Banking_Credit_Risk_Dirty[[#This Row],[Borrower_Credit_Score]],"")</f>
        <v>630</v>
      </c>
    </row>
    <row r="294" spans="1:11" x14ac:dyDescent="0.25">
      <c r="A294" s="2" t="s">
        <v>316</v>
      </c>
      <c r="B294" s="2" t="s">
        <v>21</v>
      </c>
      <c r="C294" s="1">
        <v>45841</v>
      </c>
      <c r="D294">
        <v>93605</v>
      </c>
      <c r="E294">
        <v>570</v>
      </c>
      <c r="F294">
        <v>0.23</v>
      </c>
      <c r="G294">
        <v>2</v>
      </c>
      <c r="H294" s="2" t="s">
        <v>41</v>
      </c>
      <c r="I294" s="2" t="s">
        <v>23</v>
      </c>
      <c r="J294">
        <v>14</v>
      </c>
      <c r="K294">
        <f>IF(AND(Banking_Credit_Risk_Dirty[[#This Row],[Borrower_Credit_Score]]&gt;=300,Banking_Credit_Risk_Dirty[[#This Row],[Borrower_Credit_Score]]&lt;=850),Banking_Credit_Risk_Dirty[[#This Row],[Borrower_Credit_Score]],"")</f>
        <v>570</v>
      </c>
    </row>
    <row r="295" spans="1:11" x14ac:dyDescent="0.25">
      <c r="A295" s="2" t="s">
        <v>317</v>
      </c>
      <c r="B295" s="2" t="s">
        <v>21</v>
      </c>
      <c r="C295" s="1">
        <v>45633</v>
      </c>
      <c r="D295">
        <v>52537</v>
      </c>
      <c r="E295">
        <v>818</v>
      </c>
      <c r="F295">
        <v>0.26</v>
      </c>
      <c r="G295">
        <v>2</v>
      </c>
      <c r="H295" s="2" t="s">
        <v>22</v>
      </c>
      <c r="I295" s="2" t="s">
        <v>17</v>
      </c>
      <c r="J295">
        <v>21</v>
      </c>
      <c r="K295">
        <f>IF(AND(Banking_Credit_Risk_Dirty[[#This Row],[Borrower_Credit_Score]]&gt;=300,Banking_Credit_Risk_Dirty[[#This Row],[Borrower_Credit_Score]]&lt;=850),Banking_Credit_Risk_Dirty[[#This Row],[Borrower_Credit_Score]],"")</f>
        <v>818</v>
      </c>
    </row>
    <row r="296" spans="1:11" x14ac:dyDescent="0.25">
      <c r="A296" s="2" t="s">
        <v>318</v>
      </c>
      <c r="B296" s="2" t="s">
        <v>21</v>
      </c>
      <c r="C296" s="1">
        <v>45720</v>
      </c>
      <c r="D296">
        <v>80359</v>
      </c>
      <c r="E296">
        <v>736</v>
      </c>
      <c r="F296">
        <v>0.53</v>
      </c>
      <c r="G296">
        <v>0</v>
      </c>
      <c r="H296" s="2" t="s">
        <v>19</v>
      </c>
      <c r="I296" s="2" t="s">
        <v>13</v>
      </c>
      <c r="J296">
        <v>18</v>
      </c>
      <c r="K296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297" spans="1:11" x14ac:dyDescent="0.25">
      <c r="A297" s="2" t="s">
        <v>319</v>
      </c>
      <c r="B297" s="2" t="s">
        <v>21</v>
      </c>
      <c r="C297" s="1">
        <v>45976</v>
      </c>
      <c r="D297">
        <v>62667</v>
      </c>
      <c r="E297">
        <v>643</v>
      </c>
      <c r="F297">
        <v>0.18</v>
      </c>
      <c r="G297">
        <v>0</v>
      </c>
      <c r="H297" s="2" t="s">
        <v>19</v>
      </c>
      <c r="I297" s="2" t="s">
        <v>13</v>
      </c>
      <c r="J297">
        <v>9</v>
      </c>
      <c r="K297">
        <f>IF(AND(Banking_Credit_Risk_Dirty[[#This Row],[Borrower_Credit_Score]]&gt;=300,Banking_Credit_Risk_Dirty[[#This Row],[Borrower_Credit_Score]]&lt;=850),Banking_Credit_Risk_Dirty[[#This Row],[Borrower_Credit_Score]],"")</f>
        <v>643</v>
      </c>
    </row>
    <row r="298" spans="1:11" x14ac:dyDescent="0.25">
      <c r="A298" s="2" t="s">
        <v>320</v>
      </c>
      <c r="B298" s="2" t="s">
        <v>21</v>
      </c>
      <c r="C298" s="1">
        <v>45846</v>
      </c>
      <c r="D298">
        <v>39678</v>
      </c>
      <c r="E298">
        <v>747</v>
      </c>
      <c r="F298">
        <v>0.41</v>
      </c>
      <c r="G298">
        <v>0</v>
      </c>
      <c r="H298" s="2" t="s">
        <v>22</v>
      </c>
      <c r="I298" s="2" t="s">
        <v>17</v>
      </c>
      <c r="J298">
        <v>14</v>
      </c>
      <c r="K298">
        <f>IF(AND(Banking_Credit_Risk_Dirty[[#This Row],[Borrower_Credit_Score]]&gt;=300,Banking_Credit_Risk_Dirty[[#This Row],[Borrower_Credit_Score]]&lt;=850),Banking_Credit_Risk_Dirty[[#This Row],[Borrower_Credit_Score]],"")</f>
        <v>747</v>
      </c>
    </row>
    <row r="299" spans="1:11" x14ac:dyDescent="0.25">
      <c r="A299" s="2" t="s">
        <v>321</v>
      </c>
      <c r="B299" s="2" t="s">
        <v>15</v>
      </c>
      <c r="C299" s="1">
        <v>45836</v>
      </c>
      <c r="D299">
        <v>92243</v>
      </c>
      <c r="E299">
        <v>514</v>
      </c>
      <c r="F299">
        <v>0.33</v>
      </c>
      <c r="G299">
        <v>3</v>
      </c>
      <c r="H299" s="2" t="s">
        <v>27</v>
      </c>
      <c r="I299" s="2" t="s">
        <v>23</v>
      </c>
      <c r="J299">
        <v>14</v>
      </c>
      <c r="K299">
        <f>IF(AND(Banking_Credit_Risk_Dirty[[#This Row],[Borrower_Credit_Score]]&gt;=300,Banking_Credit_Risk_Dirty[[#This Row],[Borrower_Credit_Score]]&lt;=850),Banking_Credit_Risk_Dirty[[#This Row],[Borrower_Credit_Score]],"")</f>
        <v>514</v>
      </c>
    </row>
    <row r="300" spans="1:11" x14ac:dyDescent="0.25">
      <c r="A300" s="2" t="s">
        <v>322</v>
      </c>
      <c r="B300" s="2" t="s">
        <v>15</v>
      </c>
      <c r="C300" s="1">
        <v>45667</v>
      </c>
      <c r="D300">
        <v>116153</v>
      </c>
      <c r="E300">
        <v>656</v>
      </c>
      <c r="F300">
        <v>0.64</v>
      </c>
      <c r="G300">
        <v>6</v>
      </c>
      <c r="H300" s="2" t="s">
        <v>41</v>
      </c>
      <c r="I300" s="2" t="s">
        <v>23</v>
      </c>
      <c r="J300">
        <v>19</v>
      </c>
      <c r="K300">
        <f>IF(AND(Banking_Credit_Risk_Dirty[[#This Row],[Borrower_Credit_Score]]&gt;=300,Banking_Credit_Risk_Dirty[[#This Row],[Borrower_Credit_Score]]&lt;=850),Banking_Credit_Risk_Dirty[[#This Row],[Borrower_Credit_Score]],"")</f>
        <v>656</v>
      </c>
    </row>
    <row r="301" spans="1:11" x14ac:dyDescent="0.25">
      <c r="A301" s="2" t="s">
        <v>323</v>
      </c>
      <c r="B301" s="2" t="s">
        <v>15</v>
      </c>
      <c r="C301" s="1">
        <v>45337</v>
      </c>
      <c r="D301">
        <v>117183</v>
      </c>
      <c r="E301">
        <v>647</v>
      </c>
      <c r="F301">
        <v>0.6</v>
      </c>
      <c r="G301">
        <v>0</v>
      </c>
      <c r="H301" s="2" t="s">
        <v>12</v>
      </c>
      <c r="I301" s="2" t="s">
        <v>13</v>
      </c>
      <c r="J301">
        <v>30</v>
      </c>
      <c r="K301">
        <f>IF(AND(Banking_Credit_Risk_Dirty[[#This Row],[Borrower_Credit_Score]]&gt;=300,Banking_Credit_Risk_Dirty[[#This Row],[Borrower_Credit_Score]]&lt;=850),Banking_Credit_Risk_Dirty[[#This Row],[Borrower_Credit_Score]],"")</f>
        <v>647</v>
      </c>
    </row>
    <row r="302" spans="1:11" x14ac:dyDescent="0.25">
      <c r="A302" s="2" t="s">
        <v>324</v>
      </c>
      <c r="B302" s="2" t="s">
        <v>15</v>
      </c>
      <c r="C302" s="1">
        <v>45546</v>
      </c>
      <c r="D302">
        <v>102169</v>
      </c>
      <c r="E302">
        <v>773</v>
      </c>
      <c r="F302">
        <v>0.55000000000000004</v>
      </c>
      <c r="G302">
        <v>6</v>
      </c>
      <c r="H302" s="2" t="s">
        <v>22</v>
      </c>
      <c r="I302" s="2" t="s">
        <v>23</v>
      </c>
      <c r="J302">
        <v>23</v>
      </c>
      <c r="K302">
        <f>IF(AND(Banking_Credit_Risk_Dirty[[#This Row],[Borrower_Credit_Score]]&gt;=300,Banking_Credit_Risk_Dirty[[#This Row],[Borrower_Credit_Score]]&lt;=850),Banking_Credit_Risk_Dirty[[#This Row],[Borrower_Credit_Score]],"")</f>
        <v>773</v>
      </c>
    </row>
    <row r="303" spans="1:11" x14ac:dyDescent="0.25">
      <c r="A303" s="2" t="s">
        <v>325</v>
      </c>
      <c r="B303" s="2" t="s">
        <v>15</v>
      </c>
      <c r="C303" s="1">
        <v>45975</v>
      </c>
      <c r="D303">
        <v>29852</v>
      </c>
      <c r="E303">
        <v>490</v>
      </c>
      <c r="F303">
        <v>0.33</v>
      </c>
      <c r="G303">
        <v>0</v>
      </c>
      <c r="H303" s="2" t="s">
        <v>41</v>
      </c>
      <c r="I303" s="2" t="s">
        <v>13</v>
      </c>
      <c r="J303">
        <v>9</v>
      </c>
      <c r="K303">
        <f>IF(AND(Banking_Credit_Risk_Dirty[[#This Row],[Borrower_Credit_Score]]&gt;=300,Banking_Credit_Risk_Dirty[[#This Row],[Borrower_Credit_Score]]&lt;=850),Banking_Credit_Risk_Dirty[[#This Row],[Borrower_Credit_Score]],"")</f>
        <v>490</v>
      </c>
    </row>
    <row r="304" spans="1:11" x14ac:dyDescent="0.25">
      <c r="A304" s="2" t="s">
        <v>326</v>
      </c>
      <c r="B304" s="2" t="s">
        <v>15</v>
      </c>
      <c r="C304" s="1">
        <v>45816</v>
      </c>
      <c r="D304">
        <v>22078</v>
      </c>
      <c r="E304">
        <v>786</v>
      </c>
      <c r="F304">
        <v>0.53</v>
      </c>
      <c r="G304">
        <v>2</v>
      </c>
      <c r="H304" s="2" t="s">
        <v>12</v>
      </c>
      <c r="I304" s="2" t="s">
        <v>23</v>
      </c>
      <c r="J304">
        <v>15</v>
      </c>
      <c r="K304">
        <f>IF(AND(Banking_Credit_Risk_Dirty[[#This Row],[Borrower_Credit_Score]]&gt;=300,Banking_Credit_Risk_Dirty[[#This Row],[Borrower_Credit_Score]]&lt;=850),Banking_Credit_Risk_Dirty[[#This Row],[Borrower_Credit_Score]],"")</f>
        <v>786</v>
      </c>
    </row>
    <row r="305" spans="1:11" x14ac:dyDescent="0.25">
      <c r="A305" s="2" t="s">
        <v>327</v>
      </c>
      <c r="B305" s="2" t="s">
        <v>21</v>
      </c>
      <c r="C305" s="1">
        <v>45828</v>
      </c>
      <c r="D305">
        <v>9206</v>
      </c>
      <c r="E305">
        <v>696</v>
      </c>
      <c r="F305">
        <v>0.39</v>
      </c>
      <c r="G305">
        <v>0</v>
      </c>
      <c r="H305" s="2" t="s">
        <v>19</v>
      </c>
      <c r="I305" s="2" t="s">
        <v>13</v>
      </c>
      <c r="J305">
        <v>14</v>
      </c>
      <c r="K305">
        <f>IF(AND(Banking_Credit_Risk_Dirty[[#This Row],[Borrower_Credit_Score]]&gt;=300,Banking_Credit_Risk_Dirty[[#This Row],[Borrower_Credit_Score]]&lt;=850),Banking_Credit_Risk_Dirty[[#This Row],[Borrower_Credit_Score]],"")</f>
        <v>696</v>
      </c>
    </row>
    <row r="306" spans="1:11" x14ac:dyDescent="0.25">
      <c r="A306" s="2" t="s">
        <v>328</v>
      </c>
      <c r="B306" s="2" t="s">
        <v>43</v>
      </c>
      <c r="C306" s="1">
        <v>45813</v>
      </c>
      <c r="D306">
        <v>24390</v>
      </c>
      <c r="E306">
        <v>625</v>
      </c>
      <c r="F306">
        <v>0.51</v>
      </c>
      <c r="G306">
        <v>0</v>
      </c>
      <c r="H306" s="2" t="s">
        <v>12</v>
      </c>
      <c r="I306" s="2" t="s">
        <v>17</v>
      </c>
      <c r="J306">
        <v>15</v>
      </c>
      <c r="K306">
        <f>IF(AND(Banking_Credit_Risk_Dirty[[#This Row],[Borrower_Credit_Score]]&gt;=300,Banking_Credit_Risk_Dirty[[#This Row],[Borrower_Credit_Score]]&lt;=850),Banking_Credit_Risk_Dirty[[#This Row],[Borrower_Credit_Score]],"")</f>
        <v>625</v>
      </c>
    </row>
    <row r="307" spans="1:11" x14ac:dyDescent="0.25">
      <c r="A307" s="2" t="s">
        <v>329</v>
      </c>
      <c r="B307" s="2" t="s">
        <v>21</v>
      </c>
      <c r="C307" s="1">
        <v>45871</v>
      </c>
      <c r="D307">
        <v>59594</v>
      </c>
      <c r="E307">
        <v>0</v>
      </c>
      <c r="F307">
        <v>0.16</v>
      </c>
      <c r="G307">
        <v>0</v>
      </c>
      <c r="H307" s="2" t="s">
        <v>12</v>
      </c>
      <c r="I307" s="2" t="s">
        <v>13</v>
      </c>
      <c r="J307">
        <v>13</v>
      </c>
      <c r="K307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308" spans="1:11" x14ac:dyDescent="0.25">
      <c r="A308" s="2" t="s">
        <v>330</v>
      </c>
      <c r="B308" s="2" t="s">
        <v>43</v>
      </c>
      <c r="C308" s="1">
        <v>45447</v>
      </c>
      <c r="D308">
        <v>40004</v>
      </c>
      <c r="E308">
        <v>581</v>
      </c>
      <c r="F308">
        <v>0.25</v>
      </c>
      <c r="G308">
        <v>0</v>
      </c>
      <c r="H308" s="2" t="s">
        <v>19</v>
      </c>
      <c r="I308" s="2" t="s">
        <v>13</v>
      </c>
      <c r="J308">
        <v>27</v>
      </c>
      <c r="K308">
        <f>IF(AND(Banking_Credit_Risk_Dirty[[#This Row],[Borrower_Credit_Score]]&gt;=300,Banking_Credit_Risk_Dirty[[#This Row],[Borrower_Credit_Score]]&lt;=850),Banking_Credit_Risk_Dirty[[#This Row],[Borrower_Credit_Score]],"")</f>
        <v>581</v>
      </c>
    </row>
    <row r="309" spans="1:11" x14ac:dyDescent="0.25">
      <c r="A309" s="2" t="s">
        <v>331</v>
      </c>
      <c r="B309" s="2" t="s">
        <v>21</v>
      </c>
      <c r="C309" s="1">
        <v>45457</v>
      </c>
      <c r="D309">
        <v>21736</v>
      </c>
      <c r="E309">
        <v>530</v>
      </c>
      <c r="F309">
        <v>0.23</v>
      </c>
      <c r="G309">
        <v>0</v>
      </c>
      <c r="H309" s="2" t="s">
        <v>41</v>
      </c>
      <c r="I309" s="2" t="s">
        <v>13</v>
      </c>
      <c r="J309">
        <v>26</v>
      </c>
      <c r="K309">
        <f>IF(AND(Banking_Credit_Risk_Dirty[[#This Row],[Borrower_Credit_Score]]&gt;=300,Banking_Credit_Risk_Dirty[[#This Row],[Borrower_Credit_Score]]&lt;=850),Banking_Credit_Risk_Dirty[[#This Row],[Borrower_Credit_Score]],"")</f>
        <v>530</v>
      </c>
    </row>
    <row r="310" spans="1:11" x14ac:dyDescent="0.25">
      <c r="A310" s="2" t="s">
        <v>332</v>
      </c>
      <c r="B310" s="2" t="s">
        <v>43</v>
      </c>
      <c r="C310" s="1">
        <v>45788</v>
      </c>
      <c r="D310">
        <v>43817</v>
      </c>
      <c r="E310">
        <v>763</v>
      </c>
      <c r="F310">
        <v>0.3</v>
      </c>
      <c r="G310">
        <v>0</v>
      </c>
      <c r="H310" s="2" t="s">
        <v>22</v>
      </c>
      <c r="I310" s="2" t="s">
        <v>13</v>
      </c>
      <c r="J310">
        <v>15</v>
      </c>
      <c r="K310">
        <f>IF(AND(Banking_Credit_Risk_Dirty[[#This Row],[Borrower_Credit_Score]]&gt;=300,Banking_Credit_Risk_Dirty[[#This Row],[Borrower_Credit_Score]]&lt;=850),Banking_Credit_Risk_Dirty[[#This Row],[Borrower_Credit_Score]],"")</f>
        <v>763</v>
      </c>
    </row>
    <row r="311" spans="1:11" x14ac:dyDescent="0.25">
      <c r="A311" s="2" t="s">
        <v>333</v>
      </c>
      <c r="B311" s="2" t="s">
        <v>15</v>
      </c>
      <c r="C311" s="1">
        <v>45821</v>
      </c>
      <c r="D311">
        <v>108507</v>
      </c>
      <c r="E311">
        <v>603</v>
      </c>
      <c r="F311">
        <v>0.44</v>
      </c>
      <c r="G311">
        <v>5</v>
      </c>
      <c r="H311" s="2" t="s">
        <v>16</v>
      </c>
      <c r="I311" s="2" t="s">
        <v>23</v>
      </c>
      <c r="J311">
        <v>14</v>
      </c>
      <c r="K311">
        <f>IF(AND(Banking_Credit_Risk_Dirty[[#This Row],[Borrower_Credit_Score]]&gt;=300,Banking_Credit_Risk_Dirty[[#This Row],[Borrower_Credit_Score]]&lt;=850),Banking_Credit_Risk_Dirty[[#This Row],[Borrower_Credit_Score]],"")</f>
        <v>603</v>
      </c>
    </row>
    <row r="312" spans="1:11" x14ac:dyDescent="0.25">
      <c r="A312" s="2" t="s">
        <v>334</v>
      </c>
      <c r="B312" s="2" t="s">
        <v>21</v>
      </c>
      <c r="C312" s="1">
        <v>45676</v>
      </c>
      <c r="D312">
        <v>76764</v>
      </c>
      <c r="E312">
        <v>658</v>
      </c>
      <c r="F312">
        <v>0.44</v>
      </c>
      <c r="G312">
        <v>0</v>
      </c>
      <c r="H312" s="2" t="s">
        <v>41</v>
      </c>
      <c r="I312" s="2" t="s">
        <v>13</v>
      </c>
      <c r="J312">
        <v>19</v>
      </c>
      <c r="K312">
        <f>IF(AND(Banking_Credit_Risk_Dirty[[#This Row],[Borrower_Credit_Score]]&gt;=300,Banking_Credit_Risk_Dirty[[#This Row],[Borrower_Credit_Score]]&lt;=850),Banking_Credit_Risk_Dirty[[#This Row],[Borrower_Credit_Score]],"")</f>
        <v>658</v>
      </c>
    </row>
    <row r="313" spans="1:11" x14ac:dyDescent="0.25">
      <c r="A313" s="2" t="s">
        <v>335</v>
      </c>
      <c r="B313" s="2" t="s">
        <v>21</v>
      </c>
      <c r="C313" s="1">
        <v>45407</v>
      </c>
      <c r="D313">
        <v>146048</v>
      </c>
      <c r="E313">
        <v>535</v>
      </c>
      <c r="F313">
        <v>0.19</v>
      </c>
      <c r="G313">
        <v>0</v>
      </c>
      <c r="H313" s="2" t="s">
        <v>27</v>
      </c>
      <c r="I313" s="2" t="s">
        <v>13</v>
      </c>
      <c r="J313">
        <v>28</v>
      </c>
      <c r="K313">
        <f>IF(AND(Banking_Credit_Risk_Dirty[[#This Row],[Borrower_Credit_Score]]&gt;=300,Banking_Credit_Risk_Dirty[[#This Row],[Borrower_Credit_Score]]&lt;=850),Banking_Credit_Risk_Dirty[[#This Row],[Borrower_Credit_Score]],"")</f>
        <v>535</v>
      </c>
    </row>
    <row r="314" spans="1:11" x14ac:dyDescent="0.25">
      <c r="A314" s="2" t="s">
        <v>336</v>
      </c>
      <c r="B314" s="2" t="s">
        <v>21</v>
      </c>
      <c r="C314" s="1">
        <v>45530</v>
      </c>
      <c r="D314">
        <v>135935</v>
      </c>
      <c r="E314">
        <v>825</v>
      </c>
      <c r="F314">
        <v>0.4</v>
      </c>
      <c r="G314">
        <v>2</v>
      </c>
      <c r="H314" s="2" t="s">
        <v>16</v>
      </c>
      <c r="I314" s="2" t="s">
        <v>23</v>
      </c>
      <c r="J314">
        <v>24</v>
      </c>
      <c r="K314">
        <f>IF(AND(Banking_Credit_Risk_Dirty[[#This Row],[Borrower_Credit_Score]]&gt;=300,Banking_Credit_Risk_Dirty[[#This Row],[Borrower_Credit_Score]]&lt;=850),Banking_Credit_Risk_Dirty[[#This Row],[Borrower_Credit_Score]],"")</f>
        <v>825</v>
      </c>
    </row>
    <row r="315" spans="1:11" x14ac:dyDescent="0.25">
      <c r="A315" s="2" t="s">
        <v>337</v>
      </c>
      <c r="B315" s="2" t="s">
        <v>21</v>
      </c>
      <c r="C315" s="1">
        <v>45541</v>
      </c>
      <c r="D315">
        <v>59708</v>
      </c>
      <c r="E315">
        <v>502</v>
      </c>
      <c r="F315">
        <v>0.57999999999999996</v>
      </c>
      <c r="G315">
        <v>0</v>
      </c>
      <c r="H315" s="2" t="s">
        <v>27</v>
      </c>
      <c r="I315" s="2" t="s">
        <v>13</v>
      </c>
      <c r="J315">
        <v>24</v>
      </c>
      <c r="K315">
        <f>IF(AND(Banking_Credit_Risk_Dirty[[#This Row],[Borrower_Credit_Score]]&gt;=300,Banking_Credit_Risk_Dirty[[#This Row],[Borrower_Credit_Score]]&lt;=850),Banking_Credit_Risk_Dirty[[#This Row],[Borrower_Credit_Score]],"")</f>
        <v>502</v>
      </c>
    </row>
    <row r="316" spans="1:11" x14ac:dyDescent="0.25">
      <c r="A316" s="2" t="s">
        <v>338</v>
      </c>
      <c r="B316" s="2" t="s">
        <v>43</v>
      </c>
      <c r="C316" s="1">
        <v>45777</v>
      </c>
      <c r="D316">
        <v>96435</v>
      </c>
      <c r="E316">
        <v>458</v>
      </c>
      <c r="F316">
        <v>0.43</v>
      </c>
      <c r="G316">
        <v>0</v>
      </c>
      <c r="H316" s="2" t="s">
        <v>12</v>
      </c>
      <c r="I316" s="2" t="s">
        <v>13</v>
      </c>
      <c r="J316">
        <v>16</v>
      </c>
      <c r="K316">
        <f>IF(AND(Banking_Credit_Risk_Dirty[[#This Row],[Borrower_Credit_Score]]&gt;=300,Banking_Credit_Risk_Dirty[[#This Row],[Borrower_Credit_Score]]&lt;=850),Banking_Credit_Risk_Dirty[[#This Row],[Borrower_Credit_Score]],"")</f>
        <v>458</v>
      </c>
    </row>
    <row r="317" spans="1:11" x14ac:dyDescent="0.25">
      <c r="A317" s="2" t="s">
        <v>339</v>
      </c>
      <c r="B317" s="2" t="s">
        <v>11</v>
      </c>
      <c r="C317" s="1">
        <v>45534</v>
      </c>
      <c r="D317">
        <v>90611</v>
      </c>
      <c r="E317">
        <v>595</v>
      </c>
      <c r="F317">
        <v>0.15</v>
      </c>
      <c r="G317">
        <v>0</v>
      </c>
      <c r="H317" s="2" t="s">
        <v>12</v>
      </c>
      <c r="I317" s="2" t="s">
        <v>17</v>
      </c>
      <c r="J317">
        <v>24</v>
      </c>
      <c r="K317">
        <f>IF(AND(Banking_Credit_Risk_Dirty[[#This Row],[Borrower_Credit_Score]]&gt;=300,Banking_Credit_Risk_Dirty[[#This Row],[Borrower_Credit_Score]]&lt;=850),Banking_Credit_Risk_Dirty[[#This Row],[Borrower_Credit_Score]],"")</f>
        <v>595</v>
      </c>
    </row>
    <row r="318" spans="1:11" x14ac:dyDescent="0.25">
      <c r="A318" s="2" t="s">
        <v>340</v>
      </c>
      <c r="B318" s="2" t="s">
        <v>11</v>
      </c>
      <c r="C318" s="1">
        <v>45439</v>
      </c>
      <c r="D318">
        <v>100521</v>
      </c>
      <c r="E318">
        <v>695</v>
      </c>
      <c r="F318">
        <v>0.51</v>
      </c>
      <c r="G318">
        <v>0</v>
      </c>
      <c r="H318" s="2" t="s">
        <v>12</v>
      </c>
      <c r="I318" s="2" t="s">
        <v>13</v>
      </c>
      <c r="J318">
        <v>27</v>
      </c>
      <c r="K318">
        <f>IF(AND(Banking_Credit_Risk_Dirty[[#This Row],[Borrower_Credit_Score]]&gt;=300,Banking_Credit_Risk_Dirty[[#This Row],[Borrower_Credit_Score]]&lt;=850),Banking_Credit_Risk_Dirty[[#This Row],[Borrower_Credit_Score]],"")</f>
        <v>695</v>
      </c>
    </row>
    <row r="319" spans="1:11" x14ac:dyDescent="0.25">
      <c r="A319" s="2" t="s">
        <v>341</v>
      </c>
      <c r="B319" s="2" t="s">
        <v>11</v>
      </c>
      <c r="C319" s="1">
        <v>45407</v>
      </c>
      <c r="D319">
        <v>30173</v>
      </c>
      <c r="E319">
        <v>497</v>
      </c>
      <c r="F319">
        <v>0.25</v>
      </c>
      <c r="G319">
        <v>6</v>
      </c>
      <c r="H319" s="2" t="s">
        <v>41</v>
      </c>
      <c r="I319" s="2" t="s">
        <v>17</v>
      </c>
      <c r="J319">
        <v>28</v>
      </c>
      <c r="K319">
        <f>IF(AND(Banking_Credit_Risk_Dirty[[#This Row],[Borrower_Credit_Score]]&gt;=300,Banking_Credit_Risk_Dirty[[#This Row],[Borrower_Credit_Score]]&lt;=850),Banking_Credit_Risk_Dirty[[#This Row],[Borrower_Credit_Score]],"")</f>
        <v>497</v>
      </c>
    </row>
    <row r="320" spans="1:11" x14ac:dyDescent="0.25">
      <c r="A320" s="2" t="s">
        <v>342</v>
      </c>
      <c r="B320" s="2" t="s">
        <v>15</v>
      </c>
      <c r="C320" s="1">
        <v>45888</v>
      </c>
      <c r="D320">
        <v>124489</v>
      </c>
      <c r="E320">
        <v>747</v>
      </c>
      <c r="F320">
        <v>0.61</v>
      </c>
      <c r="G320">
        <v>1</v>
      </c>
      <c r="H320" s="2" t="s">
        <v>41</v>
      </c>
      <c r="I320" s="2" t="s">
        <v>23</v>
      </c>
      <c r="J320">
        <v>12</v>
      </c>
      <c r="K320">
        <f>IF(AND(Banking_Credit_Risk_Dirty[[#This Row],[Borrower_Credit_Score]]&gt;=300,Banking_Credit_Risk_Dirty[[#This Row],[Borrower_Credit_Score]]&lt;=850),Banking_Credit_Risk_Dirty[[#This Row],[Borrower_Credit_Score]],"")</f>
        <v>747</v>
      </c>
    </row>
    <row r="321" spans="1:11" x14ac:dyDescent="0.25">
      <c r="A321" s="2" t="s">
        <v>343</v>
      </c>
      <c r="B321" s="2" t="s">
        <v>15</v>
      </c>
      <c r="C321" s="1">
        <v>45495</v>
      </c>
      <c r="D321">
        <v>131081</v>
      </c>
      <c r="E321">
        <v>576</v>
      </c>
      <c r="F321">
        <v>0.18</v>
      </c>
      <c r="G321">
        <v>0</v>
      </c>
      <c r="H321" s="2" t="s">
        <v>22</v>
      </c>
      <c r="I321" s="2" t="s">
        <v>13</v>
      </c>
      <c r="J321">
        <v>25</v>
      </c>
      <c r="K321">
        <f>IF(AND(Banking_Credit_Risk_Dirty[[#This Row],[Borrower_Credit_Score]]&gt;=300,Banking_Credit_Risk_Dirty[[#This Row],[Borrower_Credit_Score]]&lt;=850),Banking_Credit_Risk_Dirty[[#This Row],[Borrower_Credit_Score]],"")</f>
        <v>576</v>
      </c>
    </row>
    <row r="322" spans="1:11" x14ac:dyDescent="0.25">
      <c r="A322" s="2" t="s">
        <v>344</v>
      </c>
      <c r="B322" s="2" t="s">
        <v>21</v>
      </c>
      <c r="C322" s="1">
        <v>45548</v>
      </c>
      <c r="D322">
        <v>133620</v>
      </c>
      <c r="E322">
        <v>690</v>
      </c>
      <c r="F322">
        <v>0.34</v>
      </c>
      <c r="G322">
        <v>0</v>
      </c>
      <c r="H322" s="2" t="s">
        <v>16</v>
      </c>
      <c r="I322" s="2" t="s">
        <v>13</v>
      </c>
      <c r="J322">
        <v>23</v>
      </c>
      <c r="K322">
        <f>IF(AND(Banking_Credit_Risk_Dirty[[#This Row],[Borrower_Credit_Score]]&gt;=300,Banking_Credit_Risk_Dirty[[#This Row],[Borrower_Credit_Score]]&lt;=850),Banking_Credit_Risk_Dirty[[#This Row],[Borrower_Credit_Score]],"")</f>
        <v>690</v>
      </c>
    </row>
    <row r="323" spans="1:11" x14ac:dyDescent="0.25">
      <c r="A323" s="2" t="s">
        <v>345</v>
      </c>
      <c r="B323" s="2" t="s">
        <v>21</v>
      </c>
      <c r="C323" s="1">
        <v>45599</v>
      </c>
      <c r="D323">
        <v>113268</v>
      </c>
      <c r="E323">
        <v>712</v>
      </c>
      <c r="F323">
        <v>0.23</v>
      </c>
      <c r="G323">
        <v>0</v>
      </c>
      <c r="H323" s="2" t="s">
        <v>16</v>
      </c>
      <c r="I323" s="2" t="s">
        <v>13</v>
      </c>
      <c r="J323">
        <v>22</v>
      </c>
      <c r="K323">
        <f>IF(AND(Banking_Credit_Risk_Dirty[[#This Row],[Borrower_Credit_Score]]&gt;=300,Banking_Credit_Risk_Dirty[[#This Row],[Borrower_Credit_Score]]&lt;=850),Banking_Credit_Risk_Dirty[[#This Row],[Borrower_Credit_Score]],"")</f>
        <v>712</v>
      </c>
    </row>
    <row r="324" spans="1:11" x14ac:dyDescent="0.25">
      <c r="A324" s="2" t="s">
        <v>346</v>
      </c>
      <c r="B324" s="2" t="s">
        <v>11</v>
      </c>
      <c r="C324" s="1">
        <v>45968</v>
      </c>
      <c r="D324">
        <v>53824</v>
      </c>
      <c r="E324">
        <v>688</v>
      </c>
      <c r="F324">
        <v>0.36</v>
      </c>
      <c r="G324">
        <v>0</v>
      </c>
      <c r="H324" s="2" t="s">
        <v>22</v>
      </c>
      <c r="I324" s="2" t="s">
        <v>13</v>
      </c>
      <c r="J324">
        <v>10</v>
      </c>
      <c r="K324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325" spans="1:11" x14ac:dyDescent="0.25">
      <c r="A325" s="2" t="s">
        <v>347</v>
      </c>
      <c r="B325" s="2" t="s">
        <v>15</v>
      </c>
      <c r="C325" s="1">
        <v>45422</v>
      </c>
      <c r="D325">
        <v>87132</v>
      </c>
      <c r="E325">
        <v>718</v>
      </c>
      <c r="F325">
        <v>0.28999999999999998</v>
      </c>
      <c r="G325">
        <v>0</v>
      </c>
      <c r="H325" s="2" t="s">
        <v>19</v>
      </c>
      <c r="I325" s="2" t="s">
        <v>13</v>
      </c>
      <c r="J325">
        <v>27</v>
      </c>
      <c r="K325">
        <f>IF(AND(Banking_Credit_Risk_Dirty[[#This Row],[Borrower_Credit_Score]]&gt;=300,Banking_Credit_Risk_Dirty[[#This Row],[Borrower_Credit_Score]]&lt;=850),Banking_Credit_Risk_Dirty[[#This Row],[Borrower_Credit_Score]],"")</f>
        <v>718</v>
      </c>
    </row>
    <row r="326" spans="1:11" x14ac:dyDescent="0.25">
      <c r="A326" s="2" t="s">
        <v>348</v>
      </c>
      <c r="B326" s="2" t="s">
        <v>43</v>
      </c>
      <c r="C326" s="1">
        <v>45351</v>
      </c>
      <c r="D326">
        <v>79607</v>
      </c>
      <c r="E326">
        <v>823</v>
      </c>
      <c r="F326">
        <v>0.43</v>
      </c>
      <c r="G326">
        <v>0</v>
      </c>
      <c r="H326" s="2" t="s">
        <v>27</v>
      </c>
      <c r="I326" s="2" t="s">
        <v>13</v>
      </c>
      <c r="J326">
        <v>30</v>
      </c>
      <c r="K326">
        <f>IF(AND(Banking_Credit_Risk_Dirty[[#This Row],[Borrower_Credit_Score]]&gt;=300,Banking_Credit_Risk_Dirty[[#This Row],[Borrower_Credit_Score]]&lt;=850),Banking_Credit_Risk_Dirty[[#This Row],[Borrower_Credit_Score]],"")</f>
        <v>823</v>
      </c>
    </row>
    <row r="327" spans="1:11" x14ac:dyDescent="0.25">
      <c r="A327" s="2" t="s">
        <v>349</v>
      </c>
      <c r="B327" s="2" t="s">
        <v>21</v>
      </c>
      <c r="C327" s="1">
        <v>45420</v>
      </c>
      <c r="D327">
        <v>70796</v>
      </c>
      <c r="E327">
        <v>847</v>
      </c>
      <c r="F327">
        <v>0.52</v>
      </c>
      <c r="G327">
        <v>0</v>
      </c>
      <c r="H327" s="2" t="s">
        <v>12</v>
      </c>
      <c r="I327" s="2" t="s">
        <v>13</v>
      </c>
      <c r="J327">
        <v>28</v>
      </c>
      <c r="K327">
        <f>IF(AND(Banking_Credit_Risk_Dirty[[#This Row],[Borrower_Credit_Score]]&gt;=300,Banking_Credit_Risk_Dirty[[#This Row],[Borrower_Credit_Score]]&lt;=850),Banking_Credit_Risk_Dirty[[#This Row],[Borrower_Credit_Score]],"")</f>
        <v>847</v>
      </c>
    </row>
    <row r="328" spans="1:11" x14ac:dyDescent="0.25">
      <c r="A328" s="2" t="s">
        <v>350</v>
      </c>
      <c r="B328" s="2" t="s">
        <v>43</v>
      </c>
      <c r="C328" s="1">
        <v>45416</v>
      </c>
      <c r="D328">
        <v>87906</v>
      </c>
      <c r="E328">
        <v>808</v>
      </c>
      <c r="F328">
        <v>0.59</v>
      </c>
      <c r="G328">
        <v>3</v>
      </c>
      <c r="H328" s="2" t="s">
        <v>41</v>
      </c>
      <c r="I328" s="2" t="s">
        <v>17</v>
      </c>
      <c r="J328">
        <v>28</v>
      </c>
      <c r="K328">
        <f>IF(AND(Banking_Credit_Risk_Dirty[[#This Row],[Borrower_Credit_Score]]&gt;=300,Banking_Credit_Risk_Dirty[[#This Row],[Borrower_Credit_Score]]&lt;=850),Banking_Credit_Risk_Dirty[[#This Row],[Borrower_Credit_Score]],"")</f>
        <v>808</v>
      </c>
    </row>
    <row r="329" spans="1:11" x14ac:dyDescent="0.25">
      <c r="A329" s="2" t="s">
        <v>351</v>
      </c>
      <c r="B329" s="2" t="s">
        <v>15</v>
      </c>
      <c r="C329" s="1">
        <v>45608</v>
      </c>
      <c r="D329">
        <v>61601</v>
      </c>
      <c r="E329">
        <v>788</v>
      </c>
      <c r="F329">
        <v>0.34</v>
      </c>
      <c r="G329">
        <v>5</v>
      </c>
      <c r="H329" s="2" t="s">
        <v>27</v>
      </c>
      <c r="I329" s="2" t="s">
        <v>23</v>
      </c>
      <c r="J329">
        <v>21</v>
      </c>
      <c r="K329">
        <f>IF(AND(Banking_Credit_Risk_Dirty[[#This Row],[Borrower_Credit_Score]]&gt;=300,Banking_Credit_Risk_Dirty[[#This Row],[Borrower_Credit_Score]]&lt;=850),Banking_Credit_Risk_Dirty[[#This Row],[Borrower_Credit_Score]],"")</f>
        <v>788</v>
      </c>
    </row>
    <row r="330" spans="1:11" x14ac:dyDescent="0.25">
      <c r="A330" s="2" t="s">
        <v>352</v>
      </c>
      <c r="B330" s="2" t="s">
        <v>21</v>
      </c>
      <c r="C330" s="1">
        <v>45871</v>
      </c>
      <c r="D330">
        <v>117147</v>
      </c>
      <c r="E330">
        <v>513</v>
      </c>
      <c r="F330">
        <v>0.59</v>
      </c>
      <c r="G330">
        <v>5</v>
      </c>
      <c r="H330" s="2" t="s">
        <v>41</v>
      </c>
      <c r="I330" s="2" t="s">
        <v>23</v>
      </c>
      <c r="J330">
        <v>13</v>
      </c>
      <c r="K330">
        <f>IF(AND(Banking_Credit_Risk_Dirty[[#This Row],[Borrower_Credit_Score]]&gt;=300,Banking_Credit_Risk_Dirty[[#This Row],[Borrower_Credit_Score]]&lt;=850),Banking_Credit_Risk_Dirty[[#This Row],[Borrower_Credit_Score]],"")</f>
        <v>513</v>
      </c>
    </row>
    <row r="331" spans="1:11" x14ac:dyDescent="0.25">
      <c r="A331" s="2" t="s">
        <v>353</v>
      </c>
      <c r="B331" s="2" t="s">
        <v>43</v>
      </c>
      <c r="C331" s="1">
        <v>45636</v>
      </c>
      <c r="D331">
        <v>47478</v>
      </c>
      <c r="E331">
        <v>775</v>
      </c>
      <c r="F331">
        <v>0.36</v>
      </c>
      <c r="G331">
        <v>0</v>
      </c>
      <c r="H331" s="2" t="s">
        <v>19</v>
      </c>
      <c r="I331" s="2" t="s">
        <v>13</v>
      </c>
      <c r="J331">
        <v>20</v>
      </c>
      <c r="K331">
        <f>IF(AND(Banking_Credit_Risk_Dirty[[#This Row],[Borrower_Credit_Score]]&gt;=300,Banking_Credit_Risk_Dirty[[#This Row],[Borrower_Credit_Score]]&lt;=850),Banking_Credit_Risk_Dirty[[#This Row],[Borrower_Credit_Score]],"")</f>
        <v>775</v>
      </c>
    </row>
    <row r="332" spans="1:11" x14ac:dyDescent="0.25">
      <c r="A332" s="2" t="s">
        <v>354</v>
      </c>
      <c r="B332" s="2" t="s">
        <v>11</v>
      </c>
      <c r="C332" s="1">
        <v>45720</v>
      </c>
      <c r="D332">
        <v>114357</v>
      </c>
      <c r="E332">
        <v>669</v>
      </c>
      <c r="F332">
        <v>0.5</v>
      </c>
      <c r="G332">
        <v>4</v>
      </c>
      <c r="H332" s="2" t="s">
        <v>41</v>
      </c>
      <c r="I332" s="2" t="s">
        <v>23</v>
      </c>
      <c r="J332">
        <v>18</v>
      </c>
      <c r="K332">
        <f>IF(AND(Banking_Credit_Risk_Dirty[[#This Row],[Borrower_Credit_Score]]&gt;=300,Banking_Credit_Risk_Dirty[[#This Row],[Borrower_Credit_Score]]&lt;=850),Banking_Credit_Risk_Dirty[[#This Row],[Borrower_Credit_Score]],"")</f>
        <v>669</v>
      </c>
    </row>
    <row r="333" spans="1:11" x14ac:dyDescent="0.25">
      <c r="A333" s="2" t="s">
        <v>355</v>
      </c>
      <c r="B333" s="2" t="s">
        <v>21</v>
      </c>
      <c r="C333" s="1">
        <v>45709</v>
      </c>
      <c r="D333">
        <v>149458</v>
      </c>
      <c r="E333">
        <v>610</v>
      </c>
      <c r="F333">
        <v>0.33</v>
      </c>
      <c r="G333">
        <v>0</v>
      </c>
      <c r="H333" s="2" t="s">
        <v>41</v>
      </c>
      <c r="I333" s="2" t="s">
        <v>13</v>
      </c>
      <c r="J333">
        <v>18</v>
      </c>
      <c r="K333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334" spans="1:11" x14ac:dyDescent="0.25">
      <c r="A334" s="2" t="s">
        <v>356</v>
      </c>
      <c r="B334" s="2" t="s">
        <v>11</v>
      </c>
      <c r="C334" s="1">
        <v>45451</v>
      </c>
      <c r="D334">
        <v>76338</v>
      </c>
      <c r="E334">
        <v>603</v>
      </c>
      <c r="F334">
        <v>0.46</v>
      </c>
      <c r="G334">
        <v>0</v>
      </c>
      <c r="H334" s="2" t="s">
        <v>19</v>
      </c>
      <c r="I334" s="2" t="s">
        <v>13</v>
      </c>
      <c r="J334">
        <v>27</v>
      </c>
      <c r="K334">
        <f>IF(AND(Banking_Credit_Risk_Dirty[[#This Row],[Borrower_Credit_Score]]&gt;=300,Banking_Credit_Risk_Dirty[[#This Row],[Borrower_Credit_Score]]&lt;=850),Banking_Credit_Risk_Dirty[[#This Row],[Borrower_Credit_Score]],"")</f>
        <v>603</v>
      </c>
    </row>
    <row r="335" spans="1:11" x14ac:dyDescent="0.25">
      <c r="A335" s="2" t="s">
        <v>357</v>
      </c>
      <c r="B335" s="2" t="s">
        <v>21</v>
      </c>
      <c r="C335" s="1">
        <v>45891</v>
      </c>
      <c r="D335">
        <v>11570</v>
      </c>
      <c r="E335">
        <v>630</v>
      </c>
      <c r="F335">
        <v>0.46</v>
      </c>
      <c r="G335">
        <v>0</v>
      </c>
      <c r="H335" s="2" t="s">
        <v>22</v>
      </c>
      <c r="I335" s="2" t="s">
        <v>13</v>
      </c>
      <c r="J335">
        <v>12</v>
      </c>
      <c r="K335">
        <f>IF(AND(Banking_Credit_Risk_Dirty[[#This Row],[Borrower_Credit_Score]]&gt;=300,Banking_Credit_Risk_Dirty[[#This Row],[Borrower_Credit_Score]]&lt;=850),Banking_Credit_Risk_Dirty[[#This Row],[Borrower_Credit_Score]],"")</f>
        <v>630</v>
      </c>
    </row>
    <row r="336" spans="1:11" x14ac:dyDescent="0.25">
      <c r="A336" s="2" t="s">
        <v>358</v>
      </c>
      <c r="B336" s="2" t="s">
        <v>21</v>
      </c>
      <c r="C336" s="1">
        <v>45736</v>
      </c>
      <c r="D336">
        <v>147500</v>
      </c>
      <c r="E336">
        <v>624</v>
      </c>
      <c r="F336">
        <v>0.24</v>
      </c>
      <c r="G336">
        <v>0</v>
      </c>
      <c r="H336" s="2" t="s">
        <v>16</v>
      </c>
      <c r="I336" s="2" t="s">
        <v>13</v>
      </c>
      <c r="J336">
        <v>17</v>
      </c>
      <c r="K336">
        <f>IF(AND(Banking_Credit_Risk_Dirty[[#This Row],[Borrower_Credit_Score]]&gt;=300,Banking_Credit_Risk_Dirty[[#This Row],[Borrower_Credit_Score]]&lt;=850),Banking_Credit_Risk_Dirty[[#This Row],[Borrower_Credit_Score]],"")</f>
        <v>624</v>
      </c>
    </row>
    <row r="337" spans="1:11" x14ac:dyDescent="0.25">
      <c r="A337" s="2" t="s">
        <v>359</v>
      </c>
      <c r="B337" s="2" t="s">
        <v>15</v>
      </c>
      <c r="C337" s="1">
        <v>45384</v>
      </c>
      <c r="D337">
        <v>129325</v>
      </c>
      <c r="E337">
        <v>816</v>
      </c>
      <c r="F337">
        <v>0.47</v>
      </c>
      <c r="G337">
        <v>0</v>
      </c>
      <c r="H337" s="2" t="s">
        <v>19</v>
      </c>
      <c r="I337" s="2" t="s">
        <v>17</v>
      </c>
      <c r="J337">
        <v>29</v>
      </c>
      <c r="K337">
        <f>IF(AND(Banking_Credit_Risk_Dirty[[#This Row],[Borrower_Credit_Score]]&gt;=300,Banking_Credit_Risk_Dirty[[#This Row],[Borrower_Credit_Score]]&lt;=850),Banking_Credit_Risk_Dirty[[#This Row],[Borrower_Credit_Score]],"")</f>
        <v>816</v>
      </c>
    </row>
    <row r="338" spans="1:11" x14ac:dyDescent="0.25">
      <c r="A338" s="2" t="s">
        <v>360</v>
      </c>
      <c r="B338" s="2" t="s">
        <v>21</v>
      </c>
      <c r="C338" s="1">
        <v>45323</v>
      </c>
      <c r="D338">
        <v>51951</v>
      </c>
      <c r="E338">
        <v>807</v>
      </c>
      <c r="F338">
        <v>0.17</v>
      </c>
      <c r="G338">
        <v>0</v>
      </c>
      <c r="H338" s="2" t="s">
        <v>12</v>
      </c>
      <c r="I338" s="2" t="s">
        <v>13</v>
      </c>
      <c r="J338">
        <v>31</v>
      </c>
      <c r="K338">
        <f>IF(AND(Banking_Credit_Risk_Dirty[[#This Row],[Borrower_Credit_Score]]&gt;=300,Banking_Credit_Risk_Dirty[[#This Row],[Borrower_Credit_Score]]&lt;=850),Banking_Credit_Risk_Dirty[[#This Row],[Borrower_Credit_Score]],"")</f>
        <v>807</v>
      </c>
    </row>
    <row r="339" spans="1:11" x14ac:dyDescent="0.25">
      <c r="A339" s="2" t="s">
        <v>361</v>
      </c>
      <c r="B339" s="2" t="s">
        <v>21</v>
      </c>
      <c r="C339" s="1">
        <v>45734</v>
      </c>
      <c r="D339">
        <v>61503</v>
      </c>
      <c r="E339">
        <v>623</v>
      </c>
      <c r="F339">
        <v>0.64</v>
      </c>
      <c r="G339">
        <v>0</v>
      </c>
      <c r="H339" s="2" t="s">
        <v>12</v>
      </c>
      <c r="I339" s="2" t="s">
        <v>13</v>
      </c>
      <c r="J339">
        <v>17</v>
      </c>
      <c r="K339">
        <f>IF(AND(Banking_Credit_Risk_Dirty[[#This Row],[Borrower_Credit_Score]]&gt;=300,Banking_Credit_Risk_Dirty[[#This Row],[Borrower_Credit_Score]]&lt;=850),Banking_Credit_Risk_Dirty[[#This Row],[Borrower_Credit_Score]],"")</f>
        <v>623</v>
      </c>
    </row>
    <row r="340" spans="1:11" x14ac:dyDescent="0.25">
      <c r="A340" s="2" t="s">
        <v>362</v>
      </c>
      <c r="B340" s="2" t="s">
        <v>21</v>
      </c>
      <c r="C340" s="1">
        <v>45445</v>
      </c>
      <c r="D340">
        <v>25481</v>
      </c>
      <c r="E340">
        <v>750</v>
      </c>
      <c r="F340">
        <v>0.33</v>
      </c>
      <c r="G340">
        <v>0</v>
      </c>
      <c r="H340" s="2" t="s">
        <v>12</v>
      </c>
      <c r="I340" s="2" t="s">
        <v>13</v>
      </c>
      <c r="J340">
        <v>27</v>
      </c>
      <c r="K340">
        <f>IF(AND(Banking_Credit_Risk_Dirty[[#This Row],[Borrower_Credit_Score]]&gt;=300,Banking_Credit_Risk_Dirty[[#This Row],[Borrower_Credit_Score]]&lt;=850),Banking_Credit_Risk_Dirty[[#This Row],[Borrower_Credit_Score]],"")</f>
        <v>750</v>
      </c>
    </row>
    <row r="341" spans="1:11" x14ac:dyDescent="0.25">
      <c r="A341" s="2" t="s">
        <v>363</v>
      </c>
      <c r="B341" s="2" t="s">
        <v>21</v>
      </c>
      <c r="C341" s="1">
        <v>45633</v>
      </c>
      <c r="D341">
        <v>97071</v>
      </c>
      <c r="E341">
        <v>612</v>
      </c>
      <c r="F341">
        <v>0.64</v>
      </c>
      <c r="G341">
        <v>0</v>
      </c>
      <c r="H341" s="2" t="s">
        <v>12</v>
      </c>
      <c r="I341" s="2" t="s">
        <v>13</v>
      </c>
      <c r="J341">
        <v>21</v>
      </c>
      <c r="K341">
        <f>IF(AND(Banking_Credit_Risk_Dirty[[#This Row],[Borrower_Credit_Score]]&gt;=300,Banking_Credit_Risk_Dirty[[#This Row],[Borrower_Credit_Score]]&lt;=850),Banking_Credit_Risk_Dirty[[#This Row],[Borrower_Credit_Score]],"")</f>
        <v>612</v>
      </c>
    </row>
    <row r="342" spans="1:11" x14ac:dyDescent="0.25">
      <c r="A342" s="2" t="s">
        <v>364</v>
      </c>
      <c r="B342" s="2" t="s">
        <v>15</v>
      </c>
      <c r="C342" s="1">
        <v>45426</v>
      </c>
      <c r="D342">
        <v>52557</v>
      </c>
      <c r="E342">
        <v>575</v>
      </c>
      <c r="F342">
        <v>0.37</v>
      </c>
      <c r="G342">
        <v>0</v>
      </c>
      <c r="H342" s="2" t="s">
        <v>12</v>
      </c>
      <c r="I342" s="2" t="s">
        <v>13</v>
      </c>
      <c r="J342">
        <v>27</v>
      </c>
      <c r="K342">
        <f>IF(AND(Banking_Credit_Risk_Dirty[[#This Row],[Borrower_Credit_Score]]&gt;=300,Banking_Credit_Risk_Dirty[[#This Row],[Borrower_Credit_Score]]&lt;=850),Banking_Credit_Risk_Dirty[[#This Row],[Borrower_Credit_Score]],"")</f>
        <v>575</v>
      </c>
    </row>
    <row r="343" spans="1:11" x14ac:dyDescent="0.25">
      <c r="A343" s="2" t="s">
        <v>365</v>
      </c>
      <c r="B343" s="2" t="s">
        <v>43</v>
      </c>
      <c r="C343" s="1">
        <v>45566</v>
      </c>
      <c r="D343">
        <v>13561</v>
      </c>
      <c r="E343">
        <v>663</v>
      </c>
      <c r="F343">
        <v>0.6</v>
      </c>
      <c r="G343">
        <v>0</v>
      </c>
      <c r="H343" s="2" t="s">
        <v>16</v>
      </c>
      <c r="I343" s="2" t="s">
        <v>13</v>
      </c>
      <c r="J343">
        <v>23</v>
      </c>
      <c r="K343">
        <f>IF(AND(Banking_Credit_Risk_Dirty[[#This Row],[Borrower_Credit_Score]]&gt;=300,Banking_Credit_Risk_Dirty[[#This Row],[Borrower_Credit_Score]]&lt;=850),Banking_Credit_Risk_Dirty[[#This Row],[Borrower_Credit_Score]],"")</f>
        <v>663</v>
      </c>
    </row>
    <row r="344" spans="1:11" x14ac:dyDescent="0.25">
      <c r="A344" s="2" t="s">
        <v>366</v>
      </c>
      <c r="B344" s="2" t="s">
        <v>21</v>
      </c>
      <c r="C344" s="1">
        <v>45613</v>
      </c>
      <c r="D344">
        <v>67279</v>
      </c>
      <c r="E344">
        <v>711</v>
      </c>
      <c r="F344">
        <v>0.34</v>
      </c>
      <c r="G344">
        <v>0</v>
      </c>
      <c r="H344" s="2" t="s">
        <v>27</v>
      </c>
      <c r="I344" s="2" t="s">
        <v>13</v>
      </c>
      <c r="J344">
        <v>21</v>
      </c>
      <c r="K344">
        <f>IF(AND(Banking_Credit_Risk_Dirty[[#This Row],[Borrower_Credit_Score]]&gt;=300,Banking_Credit_Risk_Dirty[[#This Row],[Borrower_Credit_Score]]&lt;=850),Banking_Credit_Risk_Dirty[[#This Row],[Borrower_Credit_Score]],"")</f>
        <v>711</v>
      </c>
    </row>
    <row r="345" spans="1:11" x14ac:dyDescent="0.25">
      <c r="A345" s="2" t="s">
        <v>367</v>
      </c>
      <c r="B345" s="2" t="s">
        <v>11</v>
      </c>
      <c r="C345" s="1">
        <v>45297</v>
      </c>
      <c r="D345">
        <v>46655</v>
      </c>
      <c r="E345">
        <v>758</v>
      </c>
      <c r="F345">
        <v>0.38</v>
      </c>
      <c r="G345">
        <v>2</v>
      </c>
      <c r="H345" s="2" t="s">
        <v>19</v>
      </c>
      <c r="I345" s="2" t="s">
        <v>17</v>
      </c>
      <c r="J345">
        <v>32</v>
      </c>
      <c r="K345">
        <f>IF(AND(Banking_Credit_Risk_Dirty[[#This Row],[Borrower_Credit_Score]]&gt;=300,Banking_Credit_Risk_Dirty[[#This Row],[Borrower_Credit_Score]]&lt;=850),Banking_Credit_Risk_Dirty[[#This Row],[Borrower_Credit_Score]],"")</f>
        <v>758</v>
      </c>
    </row>
    <row r="346" spans="1:11" x14ac:dyDescent="0.25">
      <c r="A346" s="2" t="s">
        <v>368</v>
      </c>
      <c r="B346" s="2" t="s">
        <v>15</v>
      </c>
      <c r="C346" s="1">
        <v>45649</v>
      </c>
      <c r="D346">
        <v>30182</v>
      </c>
      <c r="E346">
        <v>780</v>
      </c>
      <c r="F346">
        <v>0.41</v>
      </c>
      <c r="G346">
        <v>0</v>
      </c>
      <c r="H346" s="2" t="s">
        <v>27</v>
      </c>
      <c r="I346" s="2" t="s">
        <v>13</v>
      </c>
      <c r="J346">
        <v>20</v>
      </c>
      <c r="K346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347" spans="1:11" x14ac:dyDescent="0.25">
      <c r="A347" s="2" t="s">
        <v>369</v>
      </c>
      <c r="B347" s="2" t="s">
        <v>15</v>
      </c>
      <c r="C347" s="1">
        <v>45423</v>
      </c>
      <c r="D347">
        <v>112803</v>
      </c>
      <c r="E347">
        <v>741</v>
      </c>
      <c r="F347">
        <v>0.37</v>
      </c>
      <c r="G347">
        <v>5</v>
      </c>
      <c r="H347" s="2" t="s">
        <v>22</v>
      </c>
      <c r="I347" s="2" t="s">
        <v>17</v>
      </c>
      <c r="J347">
        <v>27</v>
      </c>
      <c r="K347">
        <f>IF(AND(Banking_Credit_Risk_Dirty[[#This Row],[Borrower_Credit_Score]]&gt;=300,Banking_Credit_Risk_Dirty[[#This Row],[Borrower_Credit_Score]]&lt;=850),Banking_Credit_Risk_Dirty[[#This Row],[Borrower_Credit_Score]],"")</f>
        <v>741</v>
      </c>
    </row>
    <row r="348" spans="1:11" x14ac:dyDescent="0.25">
      <c r="A348" s="2" t="s">
        <v>370</v>
      </c>
      <c r="B348" s="2" t="s">
        <v>15</v>
      </c>
      <c r="C348" s="1">
        <v>45296</v>
      </c>
      <c r="D348">
        <v>36564</v>
      </c>
      <c r="E348">
        <v>584</v>
      </c>
      <c r="F348">
        <v>0.43</v>
      </c>
      <c r="G348">
        <v>6</v>
      </c>
      <c r="H348" s="2" t="s">
        <v>12</v>
      </c>
      <c r="I348" s="2" t="s">
        <v>23</v>
      </c>
      <c r="J348">
        <v>32</v>
      </c>
      <c r="K348">
        <f>IF(AND(Banking_Credit_Risk_Dirty[[#This Row],[Borrower_Credit_Score]]&gt;=300,Banking_Credit_Risk_Dirty[[#This Row],[Borrower_Credit_Score]]&lt;=850),Banking_Credit_Risk_Dirty[[#This Row],[Borrower_Credit_Score]],"")</f>
        <v>584</v>
      </c>
    </row>
    <row r="349" spans="1:11" x14ac:dyDescent="0.25">
      <c r="A349" s="2" t="s">
        <v>371</v>
      </c>
      <c r="B349" s="2" t="s">
        <v>21</v>
      </c>
      <c r="C349" s="1">
        <v>45316</v>
      </c>
      <c r="D349">
        <v>99492</v>
      </c>
      <c r="E349">
        <v>639</v>
      </c>
      <c r="F349">
        <v>0.56999999999999995</v>
      </c>
      <c r="G349">
        <v>0</v>
      </c>
      <c r="H349" s="2" t="s">
        <v>19</v>
      </c>
      <c r="I349" s="2" t="s">
        <v>13</v>
      </c>
      <c r="J349">
        <v>31</v>
      </c>
      <c r="K349">
        <f>IF(AND(Banking_Credit_Risk_Dirty[[#This Row],[Borrower_Credit_Score]]&gt;=300,Banking_Credit_Risk_Dirty[[#This Row],[Borrower_Credit_Score]]&lt;=850),Banking_Credit_Risk_Dirty[[#This Row],[Borrower_Credit_Score]],"")</f>
        <v>639</v>
      </c>
    </row>
    <row r="350" spans="1:11" x14ac:dyDescent="0.25">
      <c r="A350" s="2" t="s">
        <v>372</v>
      </c>
      <c r="B350" s="2" t="s">
        <v>15</v>
      </c>
      <c r="C350" s="1">
        <v>45942</v>
      </c>
      <c r="D350">
        <v>77627</v>
      </c>
      <c r="E350">
        <v>516</v>
      </c>
      <c r="F350">
        <v>0.32</v>
      </c>
      <c r="G350">
        <v>5</v>
      </c>
      <c r="H350" s="2" t="s">
        <v>41</v>
      </c>
      <c r="I350" s="2" t="s">
        <v>17</v>
      </c>
      <c r="J350">
        <v>10</v>
      </c>
      <c r="K350">
        <f>IF(AND(Banking_Credit_Risk_Dirty[[#This Row],[Borrower_Credit_Score]]&gt;=300,Banking_Credit_Risk_Dirty[[#This Row],[Borrower_Credit_Score]]&lt;=850),Banking_Credit_Risk_Dirty[[#This Row],[Borrower_Credit_Score]],"")</f>
        <v>516</v>
      </c>
    </row>
    <row r="351" spans="1:11" x14ac:dyDescent="0.25">
      <c r="A351" s="2" t="s">
        <v>373</v>
      </c>
      <c r="B351" s="2" t="s">
        <v>15</v>
      </c>
      <c r="C351" s="1">
        <v>45307</v>
      </c>
      <c r="D351">
        <v>148738</v>
      </c>
      <c r="E351">
        <v>604</v>
      </c>
      <c r="F351">
        <v>0.49</v>
      </c>
      <c r="G351">
        <v>0</v>
      </c>
      <c r="H351" s="2" t="s">
        <v>12</v>
      </c>
      <c r="I351" s="2" t="s">
        <v>13</v>
      </c>
      <c r="J351">
        <v>31</v>
      </c>
      <c r="K351">
        <f>IF(AND(Banking_Credit_Risk_Dirty[[#This Row],[Borrower_Credit_Score]]&gt;=300,Banking_Credit_Risk_Dirty[[#This Row],[Borrower_Credit_Score]]&lt;=850),Banking_Credit_Risk_Dirty[[#This Row],[Borrower_Credit_Score]],"")</f>
        <v>604</v>
      </c>
    </row>
    <row r="352" spans="1:11" x14ac:dyDescent="0.25">
      <c r="A352" s="2" t="s">
        <v>374</v>
      </c>
      <c r="B352" s="2" t="s">
        <v>15</v>
      </c>
      <c r="C352" s="1">
        <v>45714</v>
      </c>
      <c r="D352">
        <v>112997</v>
      </c>
      <c r="E352">
        <v>600</v>
      </c>
      <c r="F352">
        <v>0.64</v>
      </c>
      <c r="G352">
        <v>2</v>
      </c>
      <c r="H352" s="2" t="s">
        <v>19</v>
      </c>
      <c r="I352" s="2" t="s">
        <v>23</v>
      </c>
      <c r="J352">
        <v>18</v>
      </c>
      <c r="K352">
        <f>IF(AND(Banking_Credit_Risk_Dirty[[#This Row],[Borrower_Credit_Score]]&gt;=300,Banking_Credit_Risk_Dirty[[#This Row],[Borrower_Credit_Score]]&lt;=850),Banking_Credit_Risk_Dirty[[#This Row],[Borrower_Credit_Score]],"")</f>
        <v>600</v>
      </c>
    </row>
    <row r="353" spans="1:11" x14ac:dyDescent="0.25">
      <c r="A353" s="2" t="s">
        <v>375</v>
      </c>
      <c r="B353" s="2" t="s">
        <v>11</v>
      </c>
      <c r="C353" s="1">
        <v>45531</v>
      </c>
      <c r="D353">
        <v>60443</v>
      </c>
      <c r="E353">
        <v>745</v>
      </c>
      <c r="F353">
        <v>0.4</v>
      </c>
      <c r="G353">
        <v>0</v>
      </c>
      <c r="H353" s="2" t="s">
        <v>27</v>
      </c>
      <c r="I353" s="2" t="s">
        <v>13</v>
      </c>
      <c r="J353">
        <v>24</v>
      </c>
      <c r="K353">
        <f>IF(AND(Banking_Credit_Risk_Dirty[[#This Row],[Borrower_Credit_Score]]&gt;=300,Banking_Credit_Risk_Dirty[[#This Row],[Borrower_Credit_Score]]&lt;=850),Banking_Credit_Risk_Dirty[[#This Row],[Borrower_Credit_Score]],"")</f>
        <v>745</v>
      </c>
    </row>
    <row r="354" spans="1:11" x14ac:dyDescent="0.25">
      <c r="A354" s="2" t="s">
        <v>376</v>
      </c>
      <c r="B354" s="2" t="s">
        <v>43</v>
      </c>
      <c r="C354" s="1">
        <v>45925</v>
      </c>
      <c r="D354">
        <v>46319</v>
      </c>
      <c r="E354">
        <v>643</v>
      </c>
      <c r="F354">
        <v>0.61</v>
      </c>
      <c r="G354">
        <v>0</v>
      </c>
      <c r="H354" s="2" t="s">
        <v>27</v>
      </c>
      <c r="I354" s="2" t="s">
        <v>13</v>
      </c>
      <c r="J354">
        <v>11</v>
      </c>
      <c r="K354">
        <f>IF(AND(Banking_Credit_Risk_Dirty[[#This Row],[Borrower_Credit_Score]]&gt;=300,Banking_Credit_Risk_Dirty[[#This Row],[Borrower_Credit_Score]]&lt;=850),Banking_Credit_Risk_Dirty[[#This Row],[Borrower_Credit_Score]],"")</f>
        <v>643</v>
      </c>
    </row>
    <row r="355" spans="1:11" x14ac:dyDescent="0.25">
      <c r="A355" s="2" t="s">
        <v>377</v>
      </c>
      <c r="B355" s="2" t="s">
        <v>15</v>
      </c>
      <c r="C355" s="1">
        <v>45547</v>
      </c>
      <c r="D355">
        <v>149611</v>
      </c>
      <c r="E355">
        <v>770</v>
      </c>
      <c r="F355">
        <v>0.56999999999999995</v>
      </c>
      <c r="G355">
        <v>6</v>
      </c>
      <c r="H355" s="2" t="s">
        <v>12</v>
      </c>
      <c r="I355" s="2" t="s">
        <v>17</v>
      </c>
      <c r="J355">
        <v>23</v>
      </c>
      <c r="K355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356" spans="1:11" x14ac:dyDescent="0.25">
      <c r="A356" s="2" t="s">
        <v>378</v>
      </c>
      <c r="B356" s="2" t="s">
        <v>15</v>
      </c>
      <c r="C356" s="1">
        <v>45483</v>
      </c>
      <c r="D356">
        <v>98023</v>
      </c>
      <c r="E356">
        <v>654</v>
      </c>
      <c r="F356">
        <v>0.28000000000000003</v>
      </c>
      <c r="G356">
        <v>0</v>
      </c>
      <c r="H356" s="2" t="s">
        <v>41</v>
      </c>
      <c r="I356" s="2" t="s">
        <v>13</v>
      </c>
      <c r="J356">
        <v>25</v>
      </c>
      <c r="K356">
        <f>IF(AND(Banking_Credit_Risk_Dirty[[#This Row],[Borrower_Credit_Score]]&gt;=300,Banking_Credit_Risk_Dirty[[#This Row],[Borrower_Credit_Score]]&lt;=850),Banking_Credit_Risk_Dirty[[#This Row],[Borrower_Credit_Score]],"")</f>
        <v>654</v>
      </c>
    </row>
    <row r="357" spans="1:11" x14ac:dyDescent="0.25">
      <c r="A357" s="2" t="s">
        <v>379</v>
      </c>
      <c r="B357" s="2" t="s">
        <v>15</v>
      </c>
      <c r="C357" s="1">
        <v>45954</v>
      </c>
      <c r="D357">
        <v>134906</v>
      </c>
      <c r="E357">
        <v>751</v>
      </c>
      <c r="F357">
        <v>0.2</v>
      </c>
      <c r="G357">
        <v>6</v>
      </c>
      <c r="H357" s="2" t="s">
        <v>27</v>
      </c>
      <c r="I357" s="2" t="s">
        <v>23</v>
      </c>
      <c r="J357">
        <v>10</v>
      </c>
      <c r="K357">
        <f>IF(AND(Banking_Credit_Risk_Dirty[[#This Row],[Borrower_Credit_Score]]&gt;=300,Banking_Credit_Risk_Dirty[[#This Row],[Borrower_Credit_Score]]&lt;=850),Banking_Credit_Risk_Dirty[[#This Row],[Borrower_Credit_Score]],"")</f>
        <v>751</v>
      </c>
    </row>
    <row r="358" spans="1:11" x14ac:dyDescent="0.25">
      <c r="A358" s="2" t="s">
        <v>380</v>
      </c>
      <c r="B358" s="2" t="s">
        <v>43</v>
      </c>
      <c r="C358" s="1">
        <v>45948</v>
      </c>
      <c r="D358">
        <v>62448</v>
      </c>
      <c r="E358">
        <v>784</v>
      </c>
      <c r="F358">
        <v>0.38</v>
      </c>
      <c r="G358">
        <v>1</v>
      </c>
      <c r="H358" s="2" t="s">
        <v>27</v>
      </c>
      <c r="I358" s="2" t="s">
        <v>17</v>
      </c>
      <c r="J358">
        <v>10</v>
      </c>
      <c r="K358">
        <f>IF(AND(Banking_Credit_Risk_Dirty[[#This Row],[Borrower_Credit_Score]]&gt;=300,Banking_Credit_Risk_Dirty[[#This Row],[Borrower_Credit_Score]]&lt;=850),Banking_Credit_Risk_Dirty[[#This Row],[Borrower_Credit_Score]],"")</f>
        <v>784</v>
      </c>
    </row>
    <row r="359" spans="1:11" x14ac:dyDescent="0.25">
      <c r="A359" s="2" t="s">
        <v>381</v>
      </c>
      <c r="B359" s="2" t="s">
        <v>15</v>
      </c>
      <c r="C359" s="1">
        <v>45794</v>
      </c>
      <c r="D359">
        <v>138114</v>
      </c>
      <c r="E359">
        <v>642</v>
      </c>
      <c r="F359">
        <v>0.63</v>
      </c>
      <c r="G359">
        <v>0</v>
      </c>
      <c r="H359" s="2" t="s">
        <v>41</v>
      </c>
      <c r="I359" s="2" t="s">
        <v>13</v>
      </c>
      <c r="J359">
        <v>15</v>
      </c>
      <c r="K359">
        <f>IF(AND(Banking_Credit_Risk_Dirty[[#This Row],[Borrower_Credit_Score]]&gt;=300,Banking_Credit_Risk_Dirty[[#This Row],[Borrower_Credit_Score]]&lt;=850),Banking_Credit_Risk_Dirty[[#This Row],[Borrower_Credit_Score]],"")</f>
        <v>642</v>
      </c>
    </row>
    <row r="360" spans="1:11" x14ac:dyDescent="0.25">
      <c r="A360" s="2" t="s">
        <v>382</v>
      </c>
      <c r="B360" s="2" t="s">
        <v>15</v>
      </c>
      <c r="C360" s="1">
        <v>45661</v>
      </c>
      <c r="D360">
        <v>108956</v>
      </c>
      <c r="E360">
        <v>765</v>
      </c>
      <c r="F360">
        <v>0.2</v>
      </c>
      <c r="G360">
        <v>0</v>
      </c>
      <c r="H360" s="2" t="s">
        <v>19</v>
      </c>
      <c r="I360" s="2" t="s">
        <v>13</v>
      </c>
      <c r="J360">
        <v>20</v>
      </c>
      <c r="K360">
        <f>IF(AND(Banking_Credit_Risk_Dirty[[#This Row],[Borrower_Credit_Score]]&gt;=300,Banking_Credit_Risk_Dirty[[#This Row],[Borrower_Credit_Score]]&lt;=850),Banking_Credit_Risk_Dirty[[#This Row],[Borrower_Credit_Score]],"")</f>
        <v>765</v>
      </c>
    </row>
    <row r="361" spans="1:11" x14ac:dyDescent="0.25">
      <c r="A361" s="2" t="s">
        <v>383</v>
      </c>
      <c r="B361" s="2" t="s">
        <v>43</v>
      </c>
      <c r="C361" s="1">
        <v>45937</v>
      </c>
      <c r="D361">
        <v>118145</v>
      </c>
      <c r="E361">
        <v>664</v>
      </c>
      <c r="F361">
        <v>0.59</v>
      </c>
      <c r="G361">
        <v>0</v>
      </c>
      <c r="H361" s="2" t="s">
        <v>22</v>
      </c>
      <c r="I361" s="2" t="s">
        <v>13</v>
      </c>
      <c r="J361">
        <v>11</v>
      </c>
      <c r="K361">
        <f>IF(AND(Banking_Credit_Risk_Dirty[[#This Row],[Borrower_Credit_Score]]&gt;=300,Banking_Credit_Risk_Dirty[[#This Row],[Borrower_Credit_Score]]&lt;=850),Banking_Credit_Risk_Dirty[[#This Row],[Borrower_Credit_Score]],"")</f>
        <v>664</v>
      </c>
    </row>
    <row r="362" spans="1:11" x14ac:dyDescent="0.25">
      <c r="A362" s="2" t="s">
        <v>384</v>
      </c>
      <c r="B362" s="2" t="s">
        <v>43</v>
      </c>
      <c r="C362" s="1">
        <v>45683</v>
      </c>
      <c r="D362">
        <v>36880</v>
      </c>
      <c r="E362">
        <v>478</v>
      </c>
      <c r="F362">
        <v>0.57999999999999996</v>
      </c>
      <c r="G362">
        <v>3</v>
      </c>
      <c r="H362" s="2" t="s">
        <v>22</v>
      </c>
      <c r="I362" s="2" t="s">
        <v>89</v>
      </c>
      <c r="J362">
        <v>19</v>
      </c>
      <c r="K362">
        <f>IF(AND(Banking_Credit_Risk_Dirty[[#This Row],[Borrower_Credit_Score]]&gt;=300,Banking_Credit_Risk_Dirty[[#This Row],[Borrower_Credit_Score]]&lt;=850),Banking_Credit_Risk_Dirty[[#This Row],[Borrower_Credit_Score]],"")</f>
        <v>478</v>
      </c>
    </row>
    <row r="363" spans="1:11" x14ac:dyDescent="0.25">
      <c r="A363" s="2" t="s">
        <v>385</v>
      </c>
      <c r="B363" s="2" t="s">
        <v>11</v>
      </c>
      <c r="C363" s="1">
        <v>45922</v>
      </c>
      <c r="D363">
        <v>9646</v>
      </c>
      <c r="E363">
        <v>485</v>
      </c>
      <c r="F363">
        <v>0.2</v>
      </c>
      <c r="G363">
        <v>2</v>
      </c>
      <c r="H363" s="2" t="s">
        <v>19</v>
      </c>
      <c r="I363" s="2" t="s">
        <v>23</v>
      </c>
      <c r="J363">
        <v>11</v>
      </c>
      <c r="K363">
        <f>IF(AND(Banking_Credit_Risk_Dirty[[#This Row],[Borrower_Credit_Score]]&gt;=300,Banking_Credit_Risk_Dirty[[#This Row],[Borrower_Credit_Score]]&lt;=850),Banking_Credit_Risk_Dirty[[#This Row],[Borrower_Credit_Score]],"")</f>
        <v>485</v>
      </c>
    </row>
    <row r="364" spans="1:11" x14ac:dyDescent="0.25">
      <c r="A364" s="2" t="s">
        <v>386</v>
      </c>
      <c r="B364" s="2" t="s">
        <v>21</v>
      </c>
      <c r="C364" s="1">
        <v>45402</v>
      </c>
      <c r="D364">
        <v>100412</v>
      </c>
      <c r="E364">
        <v>516</v>
      </c>
      <c r="F364">
        <v>0.63</v>
      </c>
      <c r="G364">
        <v>5</v>
      </c>
      <c r="H364" s="2" t="s">
        <v>12</v>
      </c>
      <c r="I364" s="2" t="s">
        <v>89</v>
      </c>
      <c r="J364">
        <v>28</v>
      </c>
      <c r="K364">
        <f>IF(AND(Banking_Credit_Risk_Dirty[[#This Row],[Borrower_Credit_Score]]&gt;=300,Banking_Credit_Risk_Dirty[[#This Row],[Borrower_Credit_Score]]&lt;=850),Banking_Credit_Risk_Dirty[[#This Row],[Borrower_Credit_Score]],"")</f>
        <v>516</v>
      </c>
    </row>
    <row r="365" spans="1:11" x14ac:dyDescent="0.25">
      <c r="A365" s="2" t="s">
        <v>387</v>
      </c>
      <c r="B365" s="2" t="s">
        <v>43</v>
      </c>
      <c r="C365" s="1">
        <v>45309</v>
      </c>
      <c r="D365">
        <v>72034</v>
      </c>
      <c r="E365">
        <v>579</v>
      </c>
      <c r="F365">
        <v>0.24</v>
      </c>
      <c r="G365">
        <v>0</v>
      </c>
      <c r="H365" s="2" t="s">
        <v>19</v>
      </c>
      <c r="I365" s="2" t="s">
        <v>13</v>
      </c>
      <c r="J365">
        <v>31</v>
      </c>
      <c r="K365">
        <f>IF(AND(Banking_Credit_Risk_Dirty[[#This Row],[Borrower_Credit_Score]]&gt;=300,Banking_Credit_Risk_Dirty[[#This Row],[Borrower_Credit_Score]]&lt;=850),Banking_Credit_Risk_Dirty[[#This Row],[Borrower_Credit_Score]],"")</f>
        <v>579</v>
      </c>
    </row>
    <row r="366" spans="1:11" x14ac:dyDescent="0.25">
      <c r="A366" s="2" t="s">
        <v>388</v>
      </c>
      <c r="B366" s="2" t="s">
        <v>15</v>
      </c>
      <c r="C366" s="1">
        <v>45550</v>
      </c>
      <c r="D366">
        <v>34597</v>
      </c>
      <c r="E366">
        <v>765</v>
      </c>
      <c r="F366">
        <v>0.22</v>
      </c>
      <c r="G366">
        <v>0</v>
      </c>
      <c r="H366" s="2" t="s">
        <v>19</v>
      </c>
      <c r="I366" s="2" t="s">
        <v>13</v>
      </c>
      <c r="J366">
        <v>23</v>
      </c>
      <c r="K366">
        <f>IF(AND(Banking_Credit_Risk_Dirty[[#This Row],[Borrower_Credit_Score]]&gt;=300,Banking_Credit_Risk_Dirty[[#This Row],[Borrower_Credit_Score]]&lt;=850),Banking_Credit_Risk_Dirty[[#This Row],[Borrower_Credit_Score]],"")</f>
        <v>765</v>
      </c>
    </row>
    <row r="367" spans="1:11" x14ac:dyDescent="0.25">
      <c r="A367" s="2" t="s">
        <v>389</v>
      </c>
      <c r="B367" s="2" t="s">
        <v>15</v>
      </c>
      <c r="C367" s="1">
        <v>45935</v>
      </c>
      <c r="D367">
        <v>18205</v>
      </c>
      <c r="E367">
        <v>541</v>
      </c>
      <c r="F367">
        <v>0.41</v>
      </c>
      <c r="G367">
        <v>0</v>
      </c>
      <c r="H367" s="2" t="s">
        <v>41</v>
      </c>
      <c r="I367" s="2" t="s">
        <v>13</v>
      </c>
      <c r="J367">
        <v>11</v>
      </c>
      <c r="K367">
        <f>IF(AND(Banking_Credit_Risk_Dirty[[#This Row],[Borrower_Credit_Score]]&gt;=300,Banking_Credit_Risk_Dirty[[#This Row],[Borrower_Credit_Score]]&lt;=850),Banking_Credit_Risk_Dirty[[#This Row],[Borrower_Credit_Score]],"")</f>
        <v>541</v>
      </c>
    </row>
    <row r="368" spans="1:11" x14ac:dyDescent="0.25">
      <c r="A368" s="2" t="s">
        <v>390</v>
      </c>
      <c r="B368" s="2" t="s">
        <v>11</v>
      </c>
      <c r="C368" s="1">
        <v>45414</v>
      </c>
      <c r="D368">
        <v>107868</v>
      </c>
      <c r="E368">
        <v>498</v>
      </c>
      <c r="F368">
        <v>0.22</v>
      </c>
      <c r="G368">
        <v>0</v>
      </c>
      <c r="H368" s="2" t="s">
        <v>12</v>
      </c>
      <c r="I368" s="2" t="s">
        <v>23</v>
      </c>
      <c r="J368">
        <v>28</v>
      </c>
      <c r="K368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369" spans="1:11" x14ac:dyDescent="0.25">
      <c r="A369" s="2" t="s">
        <v>391</v>
      </c>
      <c r="B369" s="2" t="s">
        <v>11</v>
      </c>
      <c r="C369" s="1">
        <v>45403</v>
      </c>
      <c r="D369">
        <v>89307</v>
      </c>
      <c r="E369">
        <v>485</v>
      </c>
      <c r="F369">
        <v>0.22</v>
      </c>
      <c r="G369">
        <v>6</v>
      </c>
      <c r="H369" s="2" t="s">
        <v>19</v>
      </c>
      <c r="I369" s="2" t="s">
        <v>17</v>
      </c>
      <c r="J369">
        <v>28</v>
      </c>
      <c r="K369">
        <f>IF(AND(Banking_Credit_Risk_Dirty[[#This Row],[Borrower_Credit_Score]]&gt;=300,Banking_Credit_Risk_Dirty[[#This Row],[Borrower_Credit_Score]]&lt;=850),Banking_Credit_Risk_Dirty[[#This Row],[Borrower_Credit_Score]],"")</f>
        <v>485</v>
      </c>
    </row>
    <row r="370" spans="1:11" x14ac:dyDescent="0.25">
      <c r="A370" s="2" t="s">
        <v>392</v>
      </c>
      <c r="B370" s="2" t="s">
        <v>43</v>
      </c>
      <c r="C370" s="1">
        <v>45548</v>
      </c>
      <c r="D370">
        <v>11016</v>
      </c>
      <c r="E370">
        <v>769</v>
      </c>
      <c r="F370">
        <v>0.53</v>
      </c>
      <c r="G370">
        <v>4</v>
      </c>
      <c r="H370" s="2" t="s">
        <v>19</v>
      </c>
      <c r="I370" s="2" t="s">
        <v>23</v>
      </c>
      <c r="J370">
        <v>23</v>
      </c>
      <c r="K370">
        <f>IF(AND(Banking_Credit_Risk_Dirty[[#This Row],[Borrower_Credit_Score]]&gt;=300,Banking_Credit_Risk_Dirty[[#This Row],[Borrower_Credit_Score]]&lt;=850),Banking_Credit_Risk_Dirty[[#This Row],[Borrower_Credit_Score]],"")</f>
        <v>769</v>
      </c>
    </row>
    <row r="371" spans="1:11" x14ac:dyDescent="0.25">
      <c r="A371" s="2" t="s">
        <v>393</v>
      </c>
      <c r="B371" s="2" t="s">
        <v>11</v>
      </c>
      <c r="C371" s="1">
        <v>45846</v>
      </c>
      <c r="D371">
        <v>31444</v>
      </c>
      <c r="E371">
        <v>766</v>
      </c>
      <c r="F371">
        <v>0.28999999999999998</v>
      </c>
      <c r="G371">
        <v>1</v>
      </c>
      <c r="H371" s="2" t="s">
        <v>27</v>
      </c>
      <c r="I371" s="2" t="s">
        <v>17</v>
      </c>
      <c r="J371">
        <v>14</v>
      </c>
      <c r="K371">
        <f>IF(AND(Banking_Credit_Risk_Dirty[[#This Row],[Borrower_Credit_Score]]&gt;=300,Banking_Credit_Risk_Dirty[[#This Row],[Borrower_Credit_Score]]&lt;=850),Banking_Credit_Risk_Dirty[[#This Row],[Borrower_Credit_Score]],"")</f>
        <v>766</v>
      </c>
    </row>
    <row r="372" spans="1:11" x14ac:dyDescent="0.25">
      <c r="A372" s="2" t="s">
        <v>394</v>
      </c>
      <c r="B372" s="2" t="s">
        <v>15</v>
      </c>
      <c r="C372" s="1">
        <v>45748</v>
      </c>
      <c r="D372">
        <v>75161</v>
      </c>
      <c r="E372">
        <v>586</v>
      </c>
      <c r="F372">
        <v>0.35</v>
      </c>
      <c r="G372">
        <v>6</v>
      </c>
      <c r="H372" s="2" t="s">
        <v>12</v>
      </c>
      <c r="I372" s="2" t="s">
        <v>17</v>
      </c>
      <c r="J372">
        <v>17</v>
      </c>
      <c r="K372">
        <f>IF(AND(Banking_Credit_Risk_Dirty[[#This Row],[Borrower_Credit_Score]]&gt;=300,Banking_Credit_Risk_Dirty[[#This Row],[Borrower_Credit_Score]]&lt;=850),Banking_Credit_Risk_Dirty[[#This Row],[Borrower_Credit_Score]],"")</f>
        <v>586</v>
      </c>
    </row>
    <row r="373" spans="1:11" x14ac:dyDescent="0.25">
      <c r="A373" s="2" t="s">
        <v>395</v>
      </c>
      <c r="B373" s="2" t="s">
        <v>21</v>
      </c>
      <c r="C373" s="1">
        <v>45712</v>
      </c>
      <c r="D373">
        <v>72401</v>
      </c>
      <c r="E373">
        <v>780</v>
      </c>
      <c r="F373">
        <v>0.57999999999999996</v>
      </c>
      <c r="G373">
        <v>4</v>
      </c>
      <c r="H373" s="2" t="s">
        <v>22</v>
      </c>
      <c r="I373" s="2" t="s">
        <v>23</v>
      </c>
      <c r="J373">
        <v>18</v>
      </c>
      <c r="K373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374" spans="1:11" x14ac:dyDescent="0.25">
      <c r="A374" s="2" t="s">
        <v>396</v>
      </c>
      <c r="B374" s="2" t="s">
        <v>21</v>
      </c>
      <c r="C374" s="1">
        <v>45857</v>
      </c>
      <c r="D374">
        <v>120500</v>
      </c>
      <c r="E374">
        <v>506</v>
      </c>
      <c r="F374">
        <v>0.31</v>
      </c>
      <c r="G374">
        <v>0</v>
      </c>
      <c r="H374" s="2" t="s">
        <v>27</v>
      </c>
      <c r="I374" s="2" t="s">
        <v>13</v>
      </c>
      <c r="J374">
        <v>13</v>
      </c>
      <c r="K374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375" spans="1:11" x14ac:dyDescent="0.25">
      <c r="A375" s="2" t="s">
        <v>397</v>
      </c>
      <c r="B375" s="2" t="s">
        <v>43</v>
      </c>
      <c r="C375" s="1">
        <v>45500</v>
      </c>
      <c r="D375">
        <v>84603</v>
      </c>
      <c r="E375">
        <v>798</v>
      </c>
      <c r="F375">
        <v>0.62</v>
      </c>
      <c r="G375">
        <v>0</v>
      </c>
      <c r="H375" s="2" t="s">
        <v>12</v>
      </c>
      <c r="I375" s="2" t="s">
        <v>23</v>
      </c>
      <c r="J375">
        <v>25</v>
      </c>
      <c r="K375">
        <f>IF(AND(Banking_Credit_Risk_Dirty[[#This Row],[Borrower_Credit_Score]]&gt;=300,Banking_Credit_Risk_Dirty[[#This Row],[Borrower_Credit_Score]]&lt;=850),Banking_Credit_Risk_Dirty[[#This Row],[Borrower_Credit_Score]],"")</f>
        <v>798</v>
      </c>
    </row>
    <row r="376" spans="1:11" x14ac:dyDescent="0.25">
      <c r="A376" s="2" t="s">
        <v>398</v>
      </c>
      <c r="B376" s="2" t="s">
        <v>15</v>
      </c>
      <c r="C376" s="1">
        <v>45873</v>
      </c>
      <c r="D376">
        <v>9136</v>
      </c>
      <c r="E376">
        <v>598</v>
      </c>
      <c r="F376">
        <v>0.3</v>
      </c>
      <c r="G376">
        <v>2</v>
      </c>
      <c r="H376" s="2" t="s">
        <v>16</v>
      </c>
      <c r="I376" s="2" t="s">
        <v>23</v>
      </c>
      <c r="J376">
        <v>13</v>
      </c>
      <c r="K376">
        <f>IF(AND(Banking_Credit_Risk_Dirty[[#This Row],[Borrower_Credit_Score]]&gt;=300,Banking_Credit_Risk_Dirty[[#This Row],[Borrower_Credit_Score]]&lt;=850),Banking_Credit_Risk_Dirty[[#This Row],[Borrower_Credit_Score]],"")</f>
        <v>598</v>
      </c>
    </row>
    <row r="377" spans="1:11" x14ac:dyDescent="0.25">
      <c r="A377" s="2" t="s">
        <v>399</v>
      </c>
      <c r="B377" s="2" t="s">
        <v>43</v>
      </c>
      <c r="C377" s="1">
        <v>45473</v>
      </c>
      <c r="D377">
        <v>8305</v>
      </c>
      <c r="E377">
        <v>494</v>
      </c>
      <c r="F377">
        <v>0.48</v>
      </c>
      <c r="G377">
        <v>0</v>
      </c>
      <c r="H377" s="2" t="s">
        <v>41</v>
      </c>
      <c r="I377" s="2" t="s">
        <v>13</v>
      </c>
      <c r="J377">
        <v>26</v>
      </c>
      <c r="K377">
        <f>IF(AND(Banking_Credit_Risk_Dirty[[#This Row],[Borrower_Credit_Score]]&gt;=300,Banking_Credit_Risk_Dirty[[#This Row],[Borrower_Credit_Score]]&lt;=850),Banking_Credit_Risk_Dirty[[#This Row],[Borrower_Credit_Score]],"")</f>
        <v>494</v>
      </c>
    </row>
    <row r="378" spans="1:11" x14ac:dyDescent="0.25">
      <c r="A378" s="2" t="s">
        <v>400</v>
      </c>
      <c r="B378" s="2" t="s">
        <v>15</v>
      </c>
      <c r="C378" s="1">
        <v>45950</v>
      </c>
      <c r="D378">
        <v>57540</v>
      </c>
      <c r="E378">
        <v>480</v>
      </c>
      <c r="F378">
        <v>0.28000000000000003</v>
      </c>
      <c r="G378">
        <v>0</v>
      </c>
      <c r="H378" s="2" t="s">
        <v>27</v>
      </c>
      <c r="I378" s="2" t="s">
        <v>13</v>
      </c>
      <c r="J378">
        <v>10</v>
      </c>
      <c r="K378">
        <f>IF(AND(Banking_Credit_Risk_Dirty[[#This Row],[Borrower_Credit_Score]]&gt;=300,Banking_Credit_Risk_Dirty[[#This Row],[Borrower_Credit_Score]]&lt;=850),Banking_Credit_Risk_Dirty[[#This Row],[Borrower_Credit_Score]],"")</f>
        <v>480</v>
      </c>
    </row>
    <row r="379" spans="1:11" x14ac:dyDescent="0.25">
      <c r="A379" s="2" t="s">
        <v>401</v>
      </c>
      <c r="B379" s="2" t="s">
        <v>11</v>
      </c>
      <c r="C379" s="1">
        <v>45674</v>
      </c>
      <c r="D379">
        <v>107517</v>
      </c>
      <c r="E379">
        <v>821</v>
      </c>
      <c r="F379">
        <v>0.2</v>
      </c>
      <c r="G379">
        <v>0</v>
      </c>
      <c r="H379" s="2" t="s">
        <v>22</v>
      </c>
      <c r="I379" s="2" t="s">
        <v>13</v>
      </c>
      <c r="J379">
        <v>19</v>
      </c>
      <c r="K379">
        <f>IF(AND(Banking_Credit_Risk_Dirty[[#This Row],[Borrower_Credit_Score]]&gt;=300,Banking_Credit_Risk_Dirty[[#This Row],[Borrower_Credit_Score]]&lt;=850),Banking_Credit_Risk_Dirty[[#This Row],[Borrower_Credit_Score]],"")</f>
        <v>821</v>
      </c>
    </row>
    <row r="380" spans="1:11" x14ac:dyDescent="0.25">
      <c r="A380" s="2" t="s">
        <v>402</v>
      </c>
      <c r="B380" s="2" t="s">
        <v>21</v>
      </c>
      <c r="C380" s="1">
        <v>45983</v>
      </c>
      <c r="D380">
        <v>38544</v>
      </c>
      <c r="E380">
        <v>521</v>
      </c>
      <c r="F380">
        <v>0.56000000000000005</v>
      </c>
      <c r="G380">
        <v>6</v>
      </c>
      <c r="H380" s="2" t="s">
        <v>12</v>
      </c>
      <c r="I380" s="2" t="s">
        <v>89</v>
      </c>
      <c r="J380">
        <v>9</v>
      </c>
      <c r="K380">
        <f>IF(AND(Banking_Credit_Risk_Dirty[[#This Row],[Borrower_Credit_Score]]&gt;=300,Banking_Credit_Risk_Dirty[[#This Row],[Borrower_Credit_Score]]&lt;=850),Banking_Credit_Risk_Dirty[[#This Row],[Borrower_Credit_Score]],"")</f>
        <v>521</v>
      </c>
    </row>
    <row r="381" spans="1:11" x14ac:dyDescent="0.25">
      <c r="A381" s="2" t="s">
        <v>403</v>
      </c>
      <c r="B381" s="2" t="s">
        <v>21</v>
      </c>
      <c r="C381" s="1">
        <v>45593</v>
      </c>
      <c r="D381">
        <v>110404</v>
      </c>
      <c r="E381">
        <v>723</v>
      </c>
      <c r="F381">
        <v>0.5</v>
      </c>
      <c r="G381">
        <v>0</v>
      </c>
      <c r="H381" s="2" t="s">
        <v>19</v>
      </c>
      <c r="I381" s="2" t="s">
        <v>13</v>
      </c>
      <c r="J381">
        <v>22</v>
      </c>
      <c r="K381">
        <f>IF(AND(Banking_Credit_Risk_Dirty[[#This Row],[Borrower_Credit_Score]]&gt;=300,Banking_Credit_Risk_Dirty[[#This Row],[Borrower_Credit_Score]]&lt;=850),Banking_Credit_Risk_Dirty[[#This Row],[Borrower_Credit_Score]],"")</f>
        <v>723</v>
      </c>
    </row>
    <row r="382" spans="1:11" x14ac:dyDescent="0.25">
      <c r="A382" s="2" t="s">
        <v>404</v>
      </c>
      <c r="B382" s="2" t="s">
        <v>11</v>
      </c>
      <c r="C382" s="1">
        <v>45531</v>
      </c>
      <c r="D382">
        <v>133345</v>
      </c>
      <c r="E382">
        <v>718</v>
      </c>
      <c r="F382">
        <v>0.36</v>
      </c>
      <c r="G382">
        <v>0</v>
      </c>
      <c r="H382" s="2" t="s">
        <v>22</v>
      </c>
      <c r="I382" s="2" t="s">
        <v>13</v>
      </c>
      <c r="J382">
        <v>24</v>
      </c>
      <c r="K382">
        <f>IF(AND(Banking_Credit_Risk_Dirty[[#This Row],[Borrower_Credit_Score]]&gt;=300,Banking_Credit_Risk_Dirty[[#This Row],[Borrower_Credit_Score]]&lt;=850),Banking_Credit_Risk_Dirty[[#This Row],[Borrower_Credit_Score]],"")</f>
        <v>718</v>
      </c>
    </row>
    <row r="383" spans="1:11" x14ac:dyDescent="0.25">
      <c r="A383" s="2" t="s">
        <v>405</v>
      </c>
      <c r="B383" s="2" t="s">
        <v>21</v>
      </c>
      <c r="C383" s="1">
        <v>45358</v>
      </c>
      <c r="D383">
        <v>28524</v>
      </c>
      <c r="E383">
        <v>757</v>
      </c>
      <c r="F383">
        <v>0.31</v>
      </c>
      <c r="G383">
        <v>0</v>
      </c>
      <c r="H383" s="2" t="s">
        <v>12</v>
      </c>
      <c r="I383" s="2" t="s">
        <v>13</v>
      </c>
      <c r="J383">
        <v>30</v>
      </c>
      <c r="K383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384" spans="1:11" x14ac:dyDescent="0.25">
      <c r="A384" s="2" t="s">
        <v>406</v>
      </c>
      <c r="B384" s="2" t="s">
        <v>21</v>
      </c>
      <c r="C384" s="1">
        <v>45327</v>
      </c>
      <c r="D384">
        <v>131478</v>
      </c>
      <c r="E384">
        <v>720</v>
      </c>
      <c r="F384">
        <v>0.38</v>
      </c>
      <c r="G384">
        <v>0</v>
      </c>
      <c r="H384" s="2" t="s">
        <v>12</v>
      </c>
      <c r="I384" s="2" t="s">
        <v>23</v>
      </c>
      <c r="J384">
        <v>31</v>
      </c>
      <c r="K384">
        <f>IF(AND(Banking_Credit_Risk_Dirty[[#This Row],[Borrower_Credit_Score]]&gt;=300,Banking_Credit_Risk_Dirty[[#This Row],[Borrower_Credit_Score]]&lt;=850),Banking_Credit_Risk_Dirty[[#This Row],[Borrower_Credit_Score]],"")</f>
        <v>720</v>
      </c>
    </row>
    <row r="385" spans="1:11" x14ac:dyDescent="0.25">
      <c r="A385" s="2" t="s">
        <v>407</v>
      </c>
      <c r="B385" s="2" t="s">
        <v>21</v>
      </c>
      <c r="C385" s="1">
        <v>45906</v>
      </c>
      <c r="D385">
        <v>62968</v>
      </c>
      <c r="E385">
        <v>719</v>
      </c>
      <c r="F385">
        <v>0.65</v>
      </c>
      <c r="G385">
        <v>0</v>
      </c>
      <c r="H385" s="2" t="s">
        <v>19</v>
      </c>
      <c r="I385" s="2" t="s">
        <v>13</v>
      </c>
      <c r="J385">
        <v>12</v>
      </c>
      <c r="K385">
        <f>IF(AND(Banking_Credit_Risk_Dirty[[#This Row],[Borrower_Credit_Score]]&gt;=300,Banking_Credit_Risk_Dirty[[#This Row],[Borrower_Credit_Score]]&lt;=850),Banking_Credit_Risk_Dirty[[#This Row],[Borrower_Credit_Score]],"")</f>
        <v>719</v>
      </c>
    </row>
    <row r="386" spans="1:11" x14ac:dyDescent="0.25">
      <c r="A386" s="2" t="s">
        <v>408</v>
      </c>
      <c r="B386" s="2" t="s">
        <v>21</v>
      </c>
      <c r="C386" s="1">
        <v>45643</v>
      </c>
      <c r="D386">
        <v>99367</v>
      </c>
      <c r="E386">
        <v>766</v>
      </c>
      <c r="F386">
        <v>0.33</v>
      </c>
      <c r="G386">
        <v>0</v>
      </c>
      <c r="H386" s="2" t="s">
        <v>22</v>
      </c>
      <c r="I386" s="2" t="s">
        <v>13</v>
      </c>
      <c r="J386">
        <v>20</v>
      </c>
      <c r="K386">
        <f>IF(AND(Banking_Credit_Risk_Dirty[[#This Row],[Borrower_Credit_Score]]&gt;=300,Banking_Credit_Risk_Dirty[[#This Row],[Borrower_Credit_Score]]&lt;=850),Banking_Credit_Risk_Dirty[[#This Row],[Borrower_Credit_Score]],"")</f>
        <v>766</v>
      </c>
    </row>
    <row r="387" spans="1:11" x14ac:dyDescent="0.25">
      <c r="A387" s="2" t="s">
        <v>409</v>
      </c>
      <c r="B387" s="2" t="s">
        <v>21</v>
      </c>
      <c r="C387" s="1">
        <v>45399</v>
      </c>
      <c r="D387">
        <v>106774</v>
      </c>
      <c r="E387">
        <v>620</v>
      </c>
      <c r="F387">
        <v>0.53</v>
      </c>
      <c r="G387">
        <v>0</v>
      </c>
      <c r="H387" s="2" t="s">
        <v>12</v>
      </c>
      <c r="I387" s="2" t="s">
        <v>23</v>
      </c>
      <c r="J387">
        <v>28</v>
      </c>
      <c r="K387">
        <f>IF(AND(Banking_Credit_Risk_Dirty[[#This Row],[Borrower_Credit_Score]]&gt;=300,Banking_Credit_Risk_Dirty[[#This Row],[Borrower_Credit_Score]]&lt;=850),Banking_Credit_Risk_Dirty[[#This Row],[Borrower_Credit_Score]],"")</f>
        <v>620</v>
      </c>
    </row>
    <row r="388" spans="1:11" x14ac:dyDescent="0.25">
      <c r="A388" s="2" t="s">
        <v>410</v>
      </c>
      <c r="B388" s="2" t="s">
        <v>15</v>
      </c>
      <c r="C388" s="1">
        <v>45780</v>
      </c>
      <c r="D388">
        <v>11031</v>
      </c>
      <c r="E388">
        <v>594</v>
      </c>
      <c r="F388">
        <v>0.5</v>
      </c>
      <c r="G388">
        <v>0</v>
      </c>
      <c r="H388" s="2" t="s">
        <v>12</v>
      </c>
      <c r="I388" s="2" t="s">
        <v>13</v>
      </c>
      <c r="J388">
        <v>16</v>
      </c>
      <c r="K388">
        <f>IF(AND(Banking_Credit_Risk_Dirty[[#This Row],[Borrower_Credit_Score]]&gt;=300,Banking_Credit_Risk_Dirty[[#This Row],[Borrower_Credit_Score]]&lt;=850),Banking_Credit_Risk_Dirty[[#This Row],[Borrower_Credit_Score]],"")</f>
        <v>594</v>
      </c>
    </row>
    <row r="389" spans="1:11" x14ac:dyDescent="0.25">
      <c r="A389" s="2" t="s">
        <v>411</v>
      </c>
      <c r="B389" s="2" t="s">
        <v>15</v>
      </c>
      <c r="C389" s="1">
        <v>45772</v>
      </c>
      <c r="D389">
        <v>119072</v>
      </c>
      <c r="E389">
        <v>562</v>
      </c>
      <c r="F389">
        <v>0.55000000000000004</v>
      </c>
      <c r="G389">
        <v>3</v>
      </c>
      <c r="H389" s="2" t="s">
        <v>41</v>
      </c>
      <c r="I389" s="2" t="s">
        <v>23</v>
      </c>
      <c r="J389">
        <v>16</v>
      </c>
      <c r="K389">
        <f>IF(AND(Banking_Credit_Risk_Dirty[[#This Row],[Borrower_Credit_Score]]&gt;=300,Banking_Credit_Risk_Dirty[[#This Row],[Borrower_Credit_Score]]&lt;=850),Banking_Credit_Risk_Dirty[[#This Row],[Borrower_Credit_Score]],"")</f>
        <v>562</v>
      </c>
    </row>
    <row r="390" spans="1:11" x14ac:dyDescent="0.25">
      <c r="A390" s="2" t="s">
        <v>412</v>
      </c>
      <c r="B390" s="2" t="s">
        <v>15</v>
      </c>
      <c r="C390" s="1">
        <v>45739</v>
      </c>
      <c r="D390">
        <v>116833</v>
      </c>
      <c r="E390">
        <v>804</v>
      </c>
      <c r="F390">
        <v>0.41</v>
      </c>
      <c r="G390">
        <v>0</v>
      </c>
      <c r="H390" s="2" t="s">
        <v>12</v>
      </c>
      <c r="I390" s="2" t="s">
        <v>13</v>
      </c>
      <c r="J390">
        <v>17</v>
      </c>
      <c r="K390">
        <f>IF(AND(Banking_Credit_Risk_Dirty[[#This Row],[Borrower_Credit_Score]]&gt;=300,Banking_Credit_Risk_Dirty[[#This Row],[Borrower_Credit_Score]]&lt;=850),Banking_Credit_Risk_Dirty[[#This Row],[Borrower_Credit_Score]],"")</f>
        <v>804</v>
      </c>
    </row>
    <row r="391" spans="1:11" x14ac:dyDescent="0.25">
      <c r="A391" s="2" t="s">
        <v>413</v>
      </c>
      <c r="B391" s="2" t="s">
        <v>21</v>
      </c>
      <c r="C391" s="1">
        <v>45666</v>
      </c>
      <c r="D391">
        <v>85791</v>
      </c>
      <c r="E391">
        <v>813</v>
      </c>
      <c r="F391">
        <v>0.42</v>
      </c>
      <c r="G391">
        <v>0</v>
      </c>
      <c r="H391" s="2" t="s">
        <v>27</v>
      </c>
      <c r="I391" s="2" t="s">
        <v>13</v>
      </c>
      <c r="J391">
        <v>20</v>
      </c>
      <c r="K391">
        <f>IF(AND(Banking_Credit_Risk_Dirty[[#This Row],[Borrower_Credit_Score]]&gt;=300,Banking_Credit_Risk_Dirty[[#This Row],[Borrower_Credit_Score]]&lt;=850),Banking_Credit_Risk_Dirty[[#This Row],[Borrower_Credit_Score]],"")</f>
        <v>813</v>
      </c>
    </row>
    <row r="392" spans="1:11" x14ac:dyDescent="0.25">
      <c r="A392" s="2" t="s">
        <v>414</v>
      </c>
      <c r="B392" s="2" t="s">
        <v>21</v>
      </c>
      <c r="C392" s="1">
        <v>45390</v>
      </c>
      <c r="D392">
        <v>56947</v>
      </c>
      <c r="E392">
        <v>533</v>
      </c>
      <c r="F392">
        <v>0.28999999999999998</v>
      </c>
      <c r="G392">
        <v>0</v>
      </c>
      <c r="H392" s="2" t="s">
        <v>41</v>
      </c>
      <c r="I392" s="2" t="s">
        <v>13</v>
      </c>
      <c r="J392">
        <v>29</v>
      </c>
      <c r="K392">
        <f>IF(AND(Banking_Credit_Risk_Dirty[[#This Row],[Borrower_Credit_Score]]&gt;=300,Banking_Credit_Risk_Dirty[[#This Row],[Borrower_Credit_Score]]&lt;=850),Banking_Credit_Risk_Dirty[[#This Row],[Borrower_Credit_Score]],"")</f>
        <v>533</v>
      </c>
    </row>
    <row r="393" spans="1:11" x14ac:dyDescent="0.25">
      <c r="A393" s="2" t="s">
        <v>415</v>
      </c>
      <c r="B393" s="2" t="s">
        <v>11</v>
      </c>
      <c r="C393" s="1">
        <v>45492</v>
      </c>
      <c r="D393">
        <v>141503</v>
      </c>
      <c r="E393">
        <v>522</v>
      </c>
      <c r="F393">
        <v>0.56999999999999995</v>
      </c>
      <c r="G393">
        <v>0</v>
      </c>
      <c r="H393" s="2" t="s">
        <v>12</v>
      </c>
      <c r="I393" s="2" t="s">
        <v>13</v>
      </c>
      <c r="J393">
        <v>25</v>
      </c>
      <c r="K393">
        <f>IF(AND(Banking_Credit_Risk_Dirty[[#This Row],[Borrower_Credit_Score]]&gt;=300,Banking_Credit_Risk_Dirty[[#This Row],[Borrower_Credit_Score]]&lt;=850),Banking_Credit_Risk_Dirty[[#This Row],[Borrower_Credit_Score]],"")</f>
        <v>522</v>
      </c>
    </row>
    <row r="394" spans="1:11" x14ac:dyDescent="0.25">
      <c r="A394" s="2" t="s">
        <v>416</v>
      </c>
      <c r="B394" s="2" t="s">
        <v>15</v>
      </c>
      <c r="C394" s="1">
        <v>45883</v>
      </c>
      <c r="D394">
        <v>86973</v>
      </c>
      <c r="E394">
        <v>589</v>
      </c>
      <c r="F394">
        <v>0.47</v>
      </c>
      <c r="G394">
        <v>0</v>
      </c>
      <c r="H394" s="2" t="s">
        <v>41</v>
      </c>
      <c r="I394" s="2" t="s">
        <v>13</v>
      </c>
      <c r="J394">
        <v>12</v>
      </c>
      <c r="K394">
        <f>IF(AND(Banking_Credit_Risk_Dirty[[#This Row],[Borrower_Credit_Score]]&gt;=300,Banking_Credit_Risk_Dirty[[#This Row],[Borrower_Credit_Score]]&lt;=850),Banking_Credit_Risk_Dirty[[#This Row],[Borrower_Credit_Score]],"")</f>
        <v>589</v>
      </c>
    </row>
    <row r="395" spans="1:11" x14ac:dyDescent="0.25">
      <c r="A395" s="2" t="s">
        <v>417</v>
      </c>
      <c r="B395" s="2" t="s">
        <v>21</v>
      </c>
      <c r="C395" s="1">
        <v>45967</v>
      </c>
      <c r="D395">
        <v>43110</v>
      </c>
      <c r="E395">
        <v>519</v>
      </c>
      <c r="F395">
        <v>0.42</v>
      </c>
      <c r="G395">
        <v>3</v>
      </c>
      <c r="H395" s="2" t="s">
        <v>22</v>
      </c>
      <c r="I395" s="2" t="s">
        <v>17</v>
      </c>
      <c r="J395">
        <v>10</v>
      </c>
      <c r="K395">
        <f>IF(AND(Banking_Credit_Risk_Dirty[[#This Row],[Borrower_Credit_Score]]&gt;=300,Banking_Credit_Risk_Dirty[[#This Row],[Borrower_Credit_Score]]&lt;=850),Banking_Credit_Risk_Dirty[[#This Row],[Borrower_Credit_Score]],"")</f>
        <v>519</v>
      </c>
    </row>
    <row r="396" spans="1:11" x14ac:dyDescent="0.25">
      <c r="A396" s="2" t="s">
        <v>418</v>
      </c>
      <c r="B396" s="2" t="s">
        <v>21</v>
      </c>
      <c r="C396" s="1">
        <v>45445</v>
      </c>
      <c r="D396">
        <v>83135</v>
      </c>
      <c r="E396">
        <v>717</v>
      </c>
      <c r="F396">
        <v>0.48</v>
      </c>
      <c r="G396">
        <v>0</v>
      </c>
      <c r="H396" s="2" t="s">
        <v>19</v>
      </c>
      <c r="I396" s="2" t="s">
        <v>13</v>
      </c>
      <c r="J396">
        <v>27</v>
      </c>
      <c r="K396">
        <f>IF(AND(Banking_Credit_Risk_Dirty[[#This Row],[Borrower_Credit_Score]]&gt;=300,Banking_Credit_Risk_Dirty[[#This Row],[Borrower_Credit_Score]]&lt;=850),Banking_Credit_Risk_Dirty[[#This Row],[Borrower_Credit_Score]],"")</f>
        <v>717</v>
      </c>
    </row>
    <row r="397" spans="1:11" x14ac:dyDescent="0.25">
      <c r="A397" s="2" t="s">
        <v>419</v>
      </c>
      <c r="B397" s="2" t="s">
        <v>15</v>
      </c>
      <c r="C397" s="1">
        <v>45482</v>
      </c>
      <c r="D397">
        <v>47566</v>
      </c>
      <c r="E397">
        <v>555</v>
      </c>
      <c r="F397">
        <v>0.24</v>
      </c>
      <c r="G397">
        <v>0</v>
      </c>
      <c r="H397" s="2" t="s">
        <v>12</v>
      </c>
      <c r="I397" s="2" t="s">
        <v>13</v>
      </c>
      <c r="J397">
        <v>26</v>
      </c>
      <c r="K397">
        <f>IF(AND(Banking_Credit_Risk_Dirty[[#This Row],[Borrower_Credit_Score]]&gt;=300,Banking_Credit_Risk_Dirty[[#This Row],[Borrower_Credit_Score]]&lt;=850),Banking_Credit_Risk_Dirty[[#This Row],[Borrower_Credit_Score]],"")</f>
        <v>555</v>
      </c>
    </row>
    <row r="398" spans="1:11" x14ac:dyDescent="0.25">
      <c r="A398" s="2" t="s">
        <v>420</v>
      </c>
      <c r="B398" s="2" t="s">
        <v>15</v>
      </c>
      <c r="C398" s="1">
        <v>45443</v>
      </c>
      <c r="D398">
        <v>30092</v>
      </c>
      <c r="E398">
        <v>820</v>
      </c>
      <c r="F398">
        <v>0.27</v>
      </c>
      <c r="G398">
        <v>5</v>
      </c>
      <c r="H398" s="2" t="s">
        <v>12</v>
      </c>
      <c r="I398" s="2" t="s">
        <v>23</v>
      </c>
      <c r="J398">
        <v>27</v>
      </c>
      <c r="K398">
        <f>IF(AND(Banking_Credit_Risk_Dirty[[#This Row],[Borrower_Credit_Score]]&gt;=300,Banking_Credit_Risk_Dirty[[#This Row],[Borrower_Credit_Score]]&lt;=850),Banking_Credit_Risk_Dirty[[#This Row],[Borrower_Credit_Score]],"")</f>
        <v>820</v>
      </c>
    </row>
    <row r="399" spans="1:11" x14ac:dyDescent="0.25">
      <c r="A399" s="2" t="s">
        <v>421</v>
      </c>
      <c r="B399" s="2" t="s">
        <v>15</v>
      </c>
      <c r="C399" s="1">
        <v>45315</v>
      </c>
      <c r="D399">
        <v>6875</v>
      </c>
      <c r="E399">
        <v>849</v>
      </c>
      <c r="F399">
        <v>0.24</v>
      </c>
      <c r="G399">
        <v>2</v>
      </c>
      <c r="H399" s="2" t="s">
        <v>12</v>
      </c>
      <c r="I399" s="2" t="s">
        <v>17</v>
      </c>
      <c r="J399">
        <v>31</v>
      </c>
      <c r="K399">
        <f>IF(AND(Banking_Credit_Risk_Dirty[[#This Row],[Borrower_Credit_Score]]&gt;=300,Banking_Credit_Risk_Dirty[[#This Row],[Borrower_Credit_Score]]&lt;=850),Banking_Credit_Risk_Dirty[[#This Row],[Borrower_Credit_Score]],"")</f>
        <v>849</v>
      </c>
    </row>
    <row r="400" spans="1:11" x14ac:dyDescent="0.25">
      <c r="A400" s="2" t="s">
        <v>422</v>
      </c>
      <c r="B400" s="2" t="s">
        <v>15</v>
      </c>
      <c r="C400" s="1">
        <v>45647</v>
      </c>
      <c r="D400">
        <v>115023</v>
      </c>
      <c r="E400">
        <v>838</v>
      </c>
      <c r="F400">
        <v>0.33</v>
      </c>
      <c r="G400">
        <v>0</v>
      </c>
      <c r="H400" s="2" t="s">
        <v>22</v>
      </c>
      <c r="I400" s="2" t="s">
        <v>13</v>
      </c>
      <c r="J400">
        <v>20</v>
      </c>
      <c r="K400">
        <f>IF(AND(Banking_Credit_Risk_Dirty[[#This Row],[Borrower_Credit_Score]]&gt;=300,Banking_Credit_Risk_Dirty[[#This Row],[Borrower_Credit_Score]]&lt;=850),Banking_Credit_Risk_Dirty[[#This Row],[Borrower_Credit_Score]],"")</f>
        <v>838</v>
      </c>
    </row>
    <row r="401" spans="1:11" x14ac:dyDescent="0.25">
      <c r="A401" s="2" t="s">
        <v>423</v>
      </c>
      <c r="B401" s="2" t="s">
        <v>21</v>
      </c>
      <c r="C401" s="1">
        <v>45588</v>
      </c>
      <c r="D401">
        <v>70588</v>
      </c>
      <c r="E401">
        <v>850</v>
      </c>
      <c r="F401">
        <v>0.38</v>
      </c>
      <c r="G401">
        <v>0</v>
      </c>
      <c r="H401" s="2" t="s">
        <v>16</v>
      </c>
      <c r="I401" s="2" t="s">
        <v>13</v>
      </c>
      <c r="J401">
        <v>22</v>
      </c>
      <c r="K401">
        <f>IF(AND(Banking_Credit_Risk_Dirty[[#This Row],[Borrower_Credit_Score]]&gt;=300,Banking_Credit_Risk_Dirty[[#This Row],[Borrower_Credit_Score]]&lt;=850),Banking_Credit_Risk_Dirty[[#This Row],[Borrower_Credit_Score]],"")</f>
        <v>850</v>
      </c>
    </row>
    <row r="402" spans="1:11" x14ac:dyDescent="0.25">
      <c r="A402" s="2" t="s">
        <v>424</v>
      </c>
      <c r="B402" s="2" t="s">
        <v>43</v>
      </c>
      <c r="C402" s="1">
        <v>45844</v>
      </c>
      <c r="D402">
        <v>9429</v>
      </c>
      <c r="E402">
        <v>694</v>
      </c>
      <c r="F402">
        <v>0.38</v>
      </c>
      <c r="G402">
        <v>0</v>
      </c>
      <c r="H402" s="2" t="s">
        <v>41</v>
      </c>
      <c r="I402" s="2" t="s">
        <v>13</v>
      </c>
      <c r="J402">
        <v>14</v>
      </c>
      <c r="K402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403" spans="1:11" x14ac:dyDescent="0.25">
      <c r="A403" s="2" t="s">
        <v>425</v>
      </c>
      <c r="B403" s="2" t="s">
        <v>15</v>
      </c>
      <c r="C403" s="1">
        <v>45515</v>
      </c>
      <c r="D403">
        <v>66666</v>
      </c>
      <c r="E403">
        <v>513</v>
      </c>
      <c r="F403">
        <v>0.22</v>
      </c>
      <c r="G403">
        <v>0</v>
      </c>
      <c r="H403" s="2" t="s">
        <v>27</v>
      </c>
      <c r="I403" s="2" t="s">
        <v>13</v>
      </c>
      <c r="J403">
        <v>24</v>
      </c>
      <c r="K403">
        <f>IF(AND(Banking_Credit_Risk_Dirty[[#This Row],[Borrower_Credit_Score]]&gt;=300,Banking_Credit_Risk_Dirty[[#This Row],[Borrower_Credit_Score]]&lt;=850),Banking_Credit_Risk_Dirty[[#This Row],[Borrower_Credit_Score]],"")</f>
        <v>513</v>
      </c>
    </row>
    <row r="404" spans="1:11" x14ac:dyDescent="0.25">
      <c r="A404" s="2" t="s">
        <v>426</v>
      </c>
      <c r="B404" s="2" t="s">
        <v>43</v>
      </c>
      <c r="C404" s="1">
        <v>45304</v>
      </c>
      <c r="D404">
        <v>99620</v>
      </c>
      <c r="E404">
        <v>763</v>
      </c>
      <c r="F404">
        <v>0.27</v>
      </c>
      <c r="G404">
        <v>0</v>
      </c>
      <c r="H404" s="2" t="s">
        <v>27</v>
      </c>
      <c r="I404" s="2" t="s">
        <v>13</v>
      </c>
      <c r="J404">
        <v>31</v>
      </c>
      <c r="K404">
        <f>IF(AND(Banking_Credit_Risk_Dirty[[#This Row],[Borrower_Credit_Score]]&gt;=300,Banking_Credit_Risk_Dirty[[#This Row],[Borrower_Credit_Score]]&lt;=850),Banking_Credit_Risk_Dirty[[#This Row],[Borrower_Credit_Score]],"")</f>
        <v>763</v>
      </c>
    </row>
    <row r="405" spans="1:11" x14ac:dyDescent="0.25">
      <c r="A405" s="2" t="s">
        <v>427</v>
      </c>
      <c r="B405" s="2" t="s">
        <v>11</v>
      </c>
      <c r="C405" s="1">
        <v>45329</v>
      </c>
      <c r="D405">
        <v>40723</v>
      </c>
      <c r="E405">
        <v>537</v>
      </c>
      <c r="F405">
        <v>0.43</v>
      </c>
      <c r="G405">
        <v>2</v>
      </c>
      <c r="H405" s="2" t="s">
        <v>16</v>
      </c>
      <c r="I405" s="2" t="s">
        <v>17</v>
      </c>
      <c r="J405">
        <v>31</v>
      </c>
      <c r="K405">
        <f>IF(AND(Banking_Credit_Risk_Dirty[[#This Row],[Borrower_Credit_Score]]&gt;=300,Banking_Credit_Risk_Dirty[[#This Row],[Borrower_Credit_Score]]&lt;=850),Banking_Credit_Risk_Dirty[[#This Row],[Borrower_Credit_Score]],"")</f>
        <v>537</v>
      </c>
    </row>
    <row r="406" spans="1:11" x14ac:dyDescent="0.25">
      <c r="A406" s="2" t="s">
        <v>428</v>
      </c>
      <c r="B406" s="2" t="s">
        <v>11</v>
      </c>
      <c r="C406" s="1">
        <v>45950</v>
      </c>
      <c r="D406">
        <v>86768</v>
      </c>
      <c r="E406">
        <v>798</v>
      </c>
      <c r="F406">
        <v>0.45</v>
      </c>
      <c r="G406">
        <v>0</v>
      </c>
      <c r="H406" s="2" t="s">
        <v>16</v>
      </c>
      <c r="I406" s="2" t="s">
        <v>13</v>
      </c>
      <c r="J406">
        <v>10</v>
      </c>
      <c r="K406">
        <f>IF(AND(Banking_Credit_Risk_Dirty[[#This Row],[Borrower_Credit_Score]]&gt;=300,Banking_Credit_Risk_Dirty[[#This Row],[Borrower_Credit_Score]]&lt;=850),Banking_Credit_Risk_Dirty[[#This Row],[Borrower_Credit_Score]],"")</f>
        <v>798</v>
      </c>
    </row>
    <row r="407" spans="1:11" x14ac:dyDescent="0.25">
      <c r="A407" s="2" t="s">
        <v>429</v>
      </c>
      <c r="B407" s="2" t="s">
        <v>43</v>
      </c>
      <c r="C407" s="1">
        <v>45686</v>
      </c>
      <c r="D407">
        <v>11182</v>
      </c>
      <c r="E407">
        <v>832</v>
      </c>
      <c r="F407">
        <v>0.57999999999999996</v>
      </c>
      <c r="G407">
        <v>0</v>
      </c>
      <c r="H407" s="2" t="s">
        <v>41</v>
      </c>
      <c r="I407" s="2" t="s">
        <v>13</v>
      </c>
      <c r="J407">
        <v>19</v>
      </c>
      <c r="K407">
        <f>IF(AND(Banking_Credit_Risk_Dirty[[#This Row],[Borrower_Credit_Score]]&gt;=300,Banking_Credit_Risk_Dirty[[#This Row],[Borrower_Credit_Score]]&lt;=850),Banking_Credit_Risk_Dirty[[#This Row],[Borrower_Credit_Score]],"")</f>
        <v>832</v>
      </c>
    </row>
    <row r="408" spans="1:11" x14ac:dyDescent="0.25">
      <c r="A408" s="2" t="s">
        <v>430</v>
      </c>
      <c r="B408" s="2" t="s">
        <v>11</v>
      </c>
      <c r="C408" s="1">
        <v>45704</v>
      </c>
      <c r="D408">
        <v>137114</v>
      </c>
      <c r="E408">
        <v>680</v>
      </c>
      <c r="F408">
        <v>0.48</v>
      </c>
      <c r="G408">
        <v>0</v>
      </c>
      <c r="H408" s="2" t="s">
        <v>16</v>
      </c>
      <c r="I408" s="2" t="s">
        <v>13</v>
      </c>
      <c r="J408">
        <v>18</v>
      </c>
      <c r="K408">
        <f>IF(AND(Banking_Credit_Risk_Dirty[[#This Row],[Borrower_Credit_Score]]&gt;=300,Banking_Credit_Risk_Dirty[[#This Row],[Borrower_Credit_Score]]&lt;=850),Banking_Credit_Risk_Dirty[[#This Row],[Borrower_Credit_Score]],"")</f>
        <v>680</v>
      </c>
    </row>
    <row r="409" spans="1:11" x14ac:dyDescent="0.25">
      <c r="A409" s="2" t="s">
        <v>431</v>
      </c>
      <c r="B409" s="2" t="s">
        <v>21</v>
      </c>
      <c r="C409" s="1">
        <v>45461</v>
      </c>
      <c r="D409">
        <v>86276</v>
      </c>
      <c r="E409">
        <v>694</v>
      </c>
      <c r="F409">
        <v>0.4</v>
      </c>
      <c r="G409">
        <v>0</v>
      </c>
      <c r="H409" s="2" t="s">
        <v>41</v>
      </c>
      <c r="I409" s="2" t="s">
        <v>13</v>
      </c>
      <c r="J409">
        <v>26</v>
      </c>
      <c r="K409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410" spans="1:11" x14ac:dyDescent="0.25">
      <c r="A410" s="2" t="s">
        <v>432</v>
      </c>
      <c r="B410" s="2" t="s">
        <v>15</v>
      </c>
      <c r="C410" s="1">
        <v>45354</v>
      </c>
      <c r="D410">
        <v>102389</v>
      </c>
      <c r="E410">
        <v>676</v>
      </c>
      <c r="F410">
        <v>0.41</v>
      </c>
      <c r="G410">
        <v>3</v>
      </c>
      <c r="H410" s="2" t="s">
        <v>12</v>
      </c>
      <c r="I410" s="2" t="s">
        <v>23</v>
      </c>
      <c r="J410">
        <v>30</v>
      </c>
      <c r="K410">
        <f>IF(AND(Banking_Credit_Risk_Dirty[[#This Row],[Borrower_Credit_Score]]&gt;=300,Banking_Credit_Risk_Dirty[[#This Row],[Borrower_Credit_Score]]&lt;=850),Banking_Credit_Risk_Dirty[[#This Row],[Borrower_Credit_Score]],"")</f>
        <v>676</v>
      </c>
    </row>
    <row r="411" spans="1:11" x14ac:dyDescent="0.25">
      <c r="A411" s="2" t="s">
        <v>433</v>
      </c>
      <c r="B411" s="2" t="s">
        <v>15</v>
      </c>
      <c r="C411" s="1">
        <v>45406</v>
      </c>
      <c r="D411">
        <v>35897</v>
      </c>
      <c r="E411">
        <v>486</v>
      </c>
      <c r="F411">
        <v>0.35</v>
      </c>
      <c r="G411">
        <v>0</v>
      </c>
      <c r="H411" s="2" t="s">
        <v>27</v>
      </c>
      <c r="I411" s="2" t="s">
        <v>13</v>
      </c>
      <c r="J411">
        <v>28</v>
      </c>
      <c r="K411">
        <f>IF(AND(Banking_Credit_Risk_Dirty[[#This Row],[Borrower_Credit_Score]]&gt;=300,Banking_Credit_Risk_Dirty[[#This Row],[Borrower_Credit_Score]]&lt;=850),Banking_Credit_Risk_Dirty[[#This Row],[Borrower_Credit_Score]],"")</f>
        <v>486</v>
      </c>
    </row>
    <row r="412" spans="1:11" x14ac:dyDescent="0.25">
      <c r="A412" s="2" t="s">
        <v>434</v>
      </c>
      <c r="B412" s="2" t="s">
        <v>15</v>
      </c>
      <c r="C412" s="1">
        <v>45357</v>
      </c>
      <c r="D412">
        <v>116028</v>
      </c>
      <c r="E412">
        <v>527</v>
      </c>
      <c r="F412">
        <v>0.26</v>
      </c>
      <c r="G412">
        <v>1</v>
      </c>
      <c r="H412" s="2" t="s">
        <v>19</v>
      </c>
      <c r="I412" s="2" t="s">
        <v>17</v>
      </c>
      <c r="J412">
        <v>30</v>
      </c>
      <c r="K412">
        <f>IF(AND(Banking_Credit_Risk_Dirty[[#This Row],[Borrower_Credit_Score]]&gt;=300,Banking_Credit_Risk_Dirty[[#This Row],[Borrower_Credit_Score]]&lt;=850),Banking_Credit_Risk_Dirty[[#This Row],[Borrower_Credit_Score]],"")</f>
        <v>527</v>
      </c>
    </row>
    <row r="413" spans="1:11" x14ac:dyDescent="0.25">
      <c r="A413" s="2" t="s">
        <v>435</v>
      </c>
      <c r="B413" s="2" t="s">
        <v>21</v>
      </c>
      <c r="C413" s="1">
        <v>45505</v>
      </c>
      <c r="D413">
        <v>45101</v>
      </c>
      <c r="E413">
        <v>598</v>
      </c>
      <c r="F413">
        <v>0.26</v>
      </c>
      <c r="G413">
        <v>0</v>
      </c>
      <c r="H413" s="2" t="s">
        <v>19</v>
      </c>
      <c r="I413" s="2" t="s">
        <v>13</v>
      </c>
      <c r="J413">
        <v>25</v>
      </c>
      <c r="K413">
        <f>IF(AND(Banking_Credit_Risk_Dirty[[#This Row],[Borrower_Credit_Score]]&gt;=300,Banking_Credit_Risk_Dirty[[#This Row],[Borrower_Credit_Score]]&lt;=850),Banking_Credit_Risk_Dirty[[#This Row],[Borrower_Credit_Score]],"")</f>
        <v>598</v>
      </c>
    </row>
    <row r="414" spans="1:11" x14ac:dyDescent="0.25">
      <c r="A414" s="2" t="s">
        <v>436</v>
      </c>
      <c r="B414" s="2" t="s">
        <v>43</v>
      </c>
      <c r="C414" s="1">
        <v>45722</v>
      </c>
      <c r="D414">
        <v>111949</v>
      </c>
      <c r="E414">
        <v>577</v>
      </c>
      <c r="F414">
        <v>0.33</v>
      </c>
      <c r="G414">
        <v>0</v>
      </c>
      <c r="H414" s="2" t="s">
        <v>19</v>
      </c>
      <c r="I414" s="2" t="s">
        <v>13</v>
      </c>
      <c r="J414">
        <v>18</v>
      </c>
      <c r="K414">
        <f>IF(AND(Banking_Credit_Risk_Dirty[[#This Row],[Borrower_Credit_Score]]&gt;=300,Banking_Credit_Risk_Dirty[[#This Row],[Borrower_Credit_Score]]&lt;=850),Banking_Credit_Risk_Dirty[[#This Row],[Borrower_Credit_Score]],"")</f>
        <v>577</v>
      </c>
    </row>
    <row r="415" spans="1:11" x14ac:dyDescent="0.25">
      <c r="A415" s="2" t="s">
        <v>437</v>
      </c>
      <c r="B415" s="2" t="s">
        <v>43</v>
      </c>
      <c r="C415" s="1">
        <v>45598</v>
      </c>
      <c r="D415">
        <v>118717</v>
      </c>
      <c r="E415">
        <v>536</v>
      </c>
      <c r="F415">
        <v>0.64</v>
      </c>
      <c r="G415">
        <v>3</v>
      </c>
      <c r="H415" s="2" t="s">
        <v>12</v>
      </c>
      <c r="I415" s="2" t="s">
        <v>89</v>
      </c>
      <c r="J415">
        <v>22</v>
      </c>
      <c r="K415">
        <f>IF(AND(Banking_Credit_Risk_Dirty[[#This Row],[Borrower_Credit_Score]]&gt;=300,Banking_Credit_Risk_Dirty[[#This Row],[Borrower_Credit_Score]]&lt;=850),Banking_Credit_Risk_Dirty[[#This Row],[Borrower_Credit_Score]],"")</f>
        <v>536</v>
      </c>
    </row>
    <row r="416" spans="1:11" x14ac:dyDescent="0.25">
      <c r="A416" s="2" t="s">
        <v>438</v>
      </c>
      <c r="B416" s="2" t="s">
        <v>15</v>
      </c>
      <c r="C416" s="1">
        <v>45511</v>
      </c>
      <c r="D416">
        <v>65077</v>
      </c>
      <c r="E416">
        <v>843</v>
      </c>
      <c r="F416">
        <v>0.35</v>
      </c>
      <c r="G416">
        <v>0</v>
      </c>
      <c r="H416" s="2" t="s">
        <v>16</v>
      </c>
      <c r="I416" s="2" t="s">
        <v>13</v>
      </c>
      <c r="J416">
        <v>25</v>
      </c>
      <c r="K416">
        <f>IF(AND(Banking_Credit_Risk_Dirty[[#This Row],[Borrower_Credit_Score]]&gt;=300,Banking_Credit_Risk_Dirty[[#This Row],[Borrower_Credit_Score]]&lt;=850),Banking_Credit_Risk_Dirty[[#This Row],[Borrower_Credit_Score]],"")</f>
        <v>843</v>
      </c>
    </row>
    <row r="417" spans="1:11" x14ac:dyDescent="0.25">
      <c r="A417" s="2" t="s">
        <v>439</v>
      </c>
      <c r="B417" s="2" t="s">
        <v>21</v>
      </c>
      <c r="C417" s="1">
        <v>45439</v>
      </c>
      <c r="D417">
        <v>7102</v>
      </c>
      <c r="E417">
        <v>499</v>
      </c>
      <c r="F417">
        <v>0.24</v>
      </c>
      <c r="G417">
        <v>0</v>
      </c>
      <c r="H417" s="2" t="s">
        <v>41</v>
      </c>
      <c r="I417" s="2" t="s">
        <v>13</v>
      </c>
      <c r="J417">
        <v>27</v>
      </c>
      <c r="K417">
        <f>IF(AND(Banking_Credit_Risk_Dirty[[#This Row],[Borrower_Credit_Score]]&gt;=300,Banking_Credit_Risk_Dirty[[#This Row],[Borrower_Credit_Score]]&lt;=850),Banking_Credit_Risk_Dirty[[#This Row],[Borrower_Credit_Score]],"")</f>
        <v>499</v>
      </c>
    </row>
    <row r="418" spans="1:11" x14ac:dyDescent="0.25">
      <c r="A418" s="2" t="s">
        <v>440</v>
      </c>
      <c r="B418" s="2" t="s">
        <v>21</v>
      </c>
      <c r="C418" s="1">
        <v>45684</v>
      </c>
      <c r="D418">
        <v>94591</v>
      </c>
      <c r="E418">
        <v>755</v>
      </c>
      <c r="F418">
        <v>0.47</v>
      </c>
      <c r="G418">
        <v>0</v>
      </c>
      <c r="H418" s="2" t="s">
        <v>27</v>
      </c>
      <c r="I418" s="2" t="s">
        <v>13</v>
      </c>
      <c r="J418">
        <v>19</v>
      </c>
      <c r="K418">
        <f>IF(AND(Banking_Credit_Risk_Dirty[[#This Row],[Borrower_Credit_Score]]&gt;=300,Banking_Credit_Risk_Dirty[[#This Row],[Borrower_Credit_Score]]&lt;=850),Banking_Credit_Risk_Dirty[[#This Row],[Borrower_Credit_Score]],"")</f>
        <v>755</v>
      </c>
    </row>
    <row r="419" spans="1:11" x14ac:dyDescent="0.25">
      <c r="A419" s="2" t="s">
        <v>441</v>
      </c>
      <c r="B419" s="2" t="s">
        <v>15</v>
      </c>
      <c r="C419" s="1">
        <v>45967</v>
      </c>
      <c r="D419">
        <v>135379</v>
      </c>
      <c r="E419">
        <v>512</v>
      </c>
      <c r="F419">
        <v>0.3</v>
      </c>
      <c r="G419">
        <v>3</v>
      </c>
      <c r="H419" s="2" t="s">
        <v>16</v>
      </c>
      <c r="I419" s="2" t="s">
        <v>23</v>
      </c>
      <c r="J419">
        <v>10</v>
      </c>
      <c r="K419">
        <f>IF(AND(Banking_Credit_Risk_Dirty[[#This Row],[Borrower_Credit_Score]]&gt;=300,Banking_Credit_Risk_Dirty[[#This Row],[Borrower_Credit_Score]]&lt;=850),Banking_Credit_Risk_Dirty[[#This Row],[Borrower_Credit_Score]],"")</f>
        <v>512</v>
      </c>
    </row>
    <row r="420" spans="1:11" x14ac:dyDescent="0.25">
      <c r="A420" s="2" t="s">
        <v>442</v>
      </c>
      <c r="B420" s="2" t="s">
        <v>11</v>
      </c>
      <c r="C420" s="1">
        <v>45791</v>
      </c>
      <c r="D420">
        <v>137454</v>
      </c>
      <c r="E420">
        <v>603</v>
      </c>
      <c r="F420">
        <v>0.32</v>
      </c>
      <c r="G420">
        <v>0</v>
      </c>
      <c r="H420" s="2" t="s">
        <v>19</v>
      </c>
      <c r="I420" s="2" t="s">
        <v>13</v>
      </c>
      <c r="J420">
        <v>15</v>
      </c>
      <c r="K420">
        <f>IF(AND(Banking_Credit_Risk_Dirty[[#This Row],[Borrower_Credit_Score]]&gt;=300,Banking_Credit_Risk_Dirty[[#This Row],[Borrower_Credit_Score]]&lt;=850),Banking_Credit_Risk_Dirty[[#This Row],[Borrower_Credit_Score]],"")</f>
        <v>603</v>
      </c>
    </row>
    <row r="421" spans="1:11" x14ac:dyDescent="0.25">
      <c r="A421" s="2" t="s">
        <v>443</v>
      </c>
      <c r="B421" s="2" t="s">
        <v>15</v>
      </c>
      <c r="C421" s="1">
        <v>45465</v>
      </c>
      <c r="D421">
        <v>30213</v>
      </c>
      <c r="E421">
        <v>614</v>
      </c>
      <c r="F421">
        <v>0.41</v>
      </c>
      <c r="G421">
        <v>6</v>
      </c>
      <c r="H421" s="2" t="s">
        <v>19</v>
      </c>
      <c r="I421" s="2" t="s">
        <v>17</v>
      </c>
      <c r="J421">
        <v>26</v>
      </c>
      <c r="K421">
        <f>IF(AND(Banking_Credit_Risk_Dirty[[#This Row],[Borrower_Credit_Score]]&gt;=300,Banking_Credit_Risk_Dirty[[#This Row],[Borrower_Credit_Score]]&lt;=850),Banking_Credit_Risk_Dirty[[#This Row],[Borrower_Credit_Score]],"")</f>
        <v>614</v>
      </c>
    </row>
    <row r="422" spans="1:11" x14ac:dyDescent="0.25">
      <c r="A422" s="2" t="s">
        <v>444</v>
      </c>
      <c r="B422" s="2" t="s">
        <v>11</v>
      </c>
      <c r="C422" s="1">
        <v>45958</v>
      </c>
      <c r="D422">
        <v>93171</v>
      </c>
      <c r="E422">
        <v>710</v>
      </c>
      <c r="F422">
        <v>0.61</v>
      </c>
      <c r="G422">
        <v>0</v>
      </c>
      <c r="H422" s="2" t="s">
        <v>12</v>
      </c>
      <c r="I422" s="2" t="s">
        <v>13</v>
      </c>
      <c r="J422">
        <v>10</v>
      </c>
      <c r="K422">
        <f>IF(AND(Banking_Credit_Risk_Dirty[[#This Row],[Borrower_Credit_Score]]&gt;=300,Banking_Credit_Risk_Dirty[[#This Row],[Borrower_Credit_Score]]&lt;=850),Banking_Credit_Risk_Dirty[[#This Row],[Borrower_Credit_Score]],"")</f>
        <v>710</v>
      </c>
    </row>
    <row r="423" spans="1:11" x14ac:dyDescent="0.25">
      <c r="A423" s="2" t="s">
        <v>445</v>
      </c>
      <c r="B423" s="2" t="s">
        <v>15</v>
      </c>
      <c r="C423" s="1">
        <v>45832</v>
      </c>
      <c r="D423">
        <v>90057</v>
      </c>
      <c r="E423">
        <v>736</v>
      </c>
      <c r="F423">
        <v>0.17</v>
      </c>
      <c r="G423">
        <v>0</v>
      </c>
      <c r="H423" s="2" t="s">
        <v>22</v>
      </c>
      <c r="I423" s="2" t="s">
        <v>13</v>
      </c>
      <c r="J423">
        <v>14</v>
      </c>
      <c r="K423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424" spans="1:11" x14ac:dyDescent="0.25">
      <c r="A424" s="2" t="s">
        <v>446</v>
      </c>
      <c r="B424" s="2" t="s">
        <v>21</v>
      </c>
      <c r="C424" s="1">
        <v>45779</v>
      </c>
      <c r="D424">
        <v>122654</v>
      </c>
      <c r="E424">
        <v>523</v>
      </c>
      <c r="F424">
        <v>0.22</v>
      </c>
      <c r="G424">
        <v>0</v>
      </c>
      <c r="H424" s="2" t="s">
        <v>12</v>
      </c>
      <c r="I424" s="2" t="s">
        <v>13</v>
      </c>
      <c r="J424">
        <v>16</v>
      </c>
      <c r="K424">
        <f>IF(AND(Banking_Credit_Risk_Dirty[[#This Row],[Borrower_Credit_Score]]&gt;=300,Banking_Credit_Risk_Dirty[[#This Row],[Borrower_Credit_Score]]&lt;=850),Banking_Credit_Risk_Dirty[[#This Row],[Borrower_Credit_Score]],"")</f>
        <v>523</v>
      </c>
    </row>
    <row r="425" spans="1:11" x14ac:dyDescent="0.25">
      <c r="A425" s="2" t="s">
        <v>447</v>
      </c>
      <c r="B425" s="2" t="s">
        <v>43</v>
      </c>
      <c r="C425" s="1">
        <v>45414</v>
      </c>
      <c r="D425">
        <v>18455</v>
      </c>
      <c r="E425">
        <v>833</v>
      </c>
      <c r="F425">
        <v>0.37</v>
      </c>
      <c r="G425">
        <v>6</v>
      </c>
      <c r="H425" s="2" t="s">
        <v>12</v>
      </c>
      <c r="I425" s="2" t="s">
        <v>23</v>
      </c>
      <c r="J425">
        <v>28</v>
      </c>
      <c r="K425">
        <f>IF(AND(Banking_Credit_Risk_Dirty[[#This Row],[Borrower_Credit_Score]]&gt;=300,Banking_Credit_Risk_Dirty[[#This Row],[Borrower_Credit_Score]]&lt;=850),Banking_Credit_Risk_Dirty[[#This Row],[Borrower_Credit_Score]],"")</f>
        <v>833</v>
      </c>
    </row>
    <row r="426" spans="1:11" x14ac:dyDescent="0.25">
      <c r="A426" s="2" t="s">
        <v>448</v>
      </c>
      <c r="B426" s="2" t="s">
        <v>15</v>
      </c>
      <c r="C426" s="1">
        <v>45536</v>
      </c>
      <c r="D426">
        <v>110871</v>
      </c>
      <c r="E426">
        <v>553</v>
      </c>
      <c r="F426">
        <v>0.19</v>
      </c>
      <c r="G426">
        <v>1</v>
      </c>
      <c r="H426" s="2" t="s">
        <v>22</v>
      </c>
      <c r="I426" s="2" t="s">
        <v>17</v>
      </c>
      <c r="J426">
        <v>24</v>
      </c>
      <c r="K426">
        <f>IF(AND(Banking_Credit_Risk_Dirty[[#This Row],[Borrower_Credit_Score]]&gt;=300,Banking_Credit_Risk_Dirty[[#This Row],[Borrower_Credit_Score]]&lt;=850),Banking_Credit_Risk_Dirty[[#This Row],[Borrower_Credit_Score]],"")</f>
        <v>553</v>
      </c>
    </row>
    <row r="427" spans="1:11" x14ac:dyDescent="0.25">
      <c r="A427" s="2" t="s">
        <v>449</v>
      </c>
      <c r="B427" s="2" t="s">
        <v>15</v>
      </c>
      <c r="C427" s="1">
        <v>45890</v>
      </c>
      <c r="D427">
        <v>128050</v>
      </c>
      <c r="E427">
        <v>608</v>
      </c>
      <c r="F427">
        <v>0.56999999999999995</v>
      </c>
      <c r="G427">
        <v>6</v>
      </c>
      <c r="H427" s="2" t="s">
        <v>27</v>
      </c>
      <c r="I427" s="2" t="s">
        <v>17</v>
      </c>
      <c r="J427">
        <v>12</v>
      </c>
      <c r="K427">
        <f>IF(AND(Banking_Credit_Risk_Dirty[[#This Row],[Borrower_Credit_Score]]&gt;=300,Banking_Credit_Risk_Dirty[[#This Row],[Borrower_Credit_Score]]&lt;=850),Banking_Credit_Risk_Dirty[[#This Row],[Borrower_Credit_Score]],"")</f>
        <v>608</v>
      </c>
    </row>
    <row r="428" spans="1:11" x14ac:dyDescent="0.25">
      <c r="A428" s="2" t="s">
        <v>450</v>
      </c>
      <c r="B428" s="2" t="s">
        <v>15</v>
      </c>
      <c r="C428" s="1">
        <v>45961</v>
      </c>
      <c r="D428">
        <v>116871</v>
      </c>
      <c r="E428">
        <v>533</v>
      </c>
      <c r="F428">
        <v>0.52</v>
      </c>
      <c r="G428">
        <v>0</v>
      </c>
      <c r="H428" s="2" t="s">
        <v>19</v>
      </c>
      <c r="I428" s="2" t="s">
        <v>13</v>
      </c>
      <c r="J428">
        <v>10</v>
      </c>
      <c r="K428">
        <f>IF(AND(Banking_Credit_Risk_Dirty[[#This Row],[Borrower_Credit_Score]]&gt;=300,Banking_Credit_Risk_Dirty[[#This Row],[Borrower_Credit_Score]]&lt;=850),Banking_Credit_Risk_Dirty[[#This Row],[Borrower_Credit_Score]],"")</f>
        <v>533</v>
      </c>
    </row>
    <row r="429" spans="1:11" x14ac:dyDescent="0.25">
      <c r="A429" s="2" t="s">
        <v>451</v>
      </c>
      <c r="B429" s="2" t="s">
        <v>15</v>
      </c>
      <c r="C429" s="1">
        <v>45661</v>
      </c>
      <c r="D429">
        <v>140997</v>
      </c>
      <c r="E429">
        <v>789</v>
      </c>
      <c r="F429">
        <v>0.39</v>
      </c>
      <c r="G429">
        <v>0</v>
      </c>
      <c r="H429" s="2" t="s">
        <v>12</v>
      </c>
      <c r="I429" s="2" t="s">
        <v>13</v>
      </c>
      <c r="J429">
        <v>20</v>
      </c>
      <c r="K429">
        <f>IF(AND(Banking_Credit_Risk_Dirty[[#This Row],[Borrower_Credit_Score]]&gt;=300,Banking_Credit_Risk_Dirty[[#This Row],[Borrower_Credit_Score]]&lt;=850),Banking_Credit_Risk_Dirty[[#This Row],[Borrower_Credit_Score]],"")</f>
        <v>789</v>
      </c>
    </row>
    <row r="430" spans="1:11" x14ac:dyDescent="0.25">
      <c r="A430" s="2" t="s">
        <v>452</v>
      </c>
      <c r="B430" s="2" t="s">
        <v>15</v>
      </c>
      <c r="C430" s="1">
        <v>45837</v>
      </c>
      <c r="D430">
        <v>8148</v>
      </c>
      <c r="E430">
        <v>735</v>
      </c>
      <c r="F430">
        <v>0.35</v>
      </c>
      <c r="G430">
        <v>0</v>
      </c>
      <c r="H430" s="2" t="s">
        <v>12</v>
      </c>
      <c r="I430" s="2" t="s">
        <v>13</v>
      </c>
      <c r="J430">
        <v>14</v>
      </c>
      <c r="K430">
        <f>IF(AND(Banking_Credit_Risk_Dirty[[#This Row],[Borrower_Credit_Score]]&gt;=300,Banking_Credit_Risk_Dirty[[#This Row],[Borrower_Credit_Score]]&lt;=850),Banking_Credit_Risk_Dirty[[#This Row],[Borrower_Credit_Score]],"")</f>
        <v>735</v>
      </c>
    </row>
    <row r="431" spans="1:11" x14ac:dyDescent="0.25">
      <c r="A431" s="2" t="s">
        <v>453</v>
      </c>
      <c r="B431" s="2" t="s">
        <v>21</v>
      </c>
      <c r="C431" s="1">
        <v>45809</v>
      </c>
      <c r="D431">
        <v>107542</v>
      </c>
      <c r="E431">
        <v>724</v>
      </c>
      <c r="F431">
        <v>0.54</v>
      </c>
      <c r="G431">
        <v>0</v>
      </c>
      <c r="H431" s="2" t="s">
        <v>16</v>
      </c>
      <c r="I431" s="2" t="s">
        <v>13</v>
      </c>
      <c r="J431">
        <v>15</v>
      </c>
      <c r="K431">
        <f>IF(AND(Banking_Credit_Risk_Dirty[[#This Row],[Borrower_Credit_Score]]&gt;=300,Banking_Credit_Risk_Dirty[[#This Row],[Borrower_Credit_Score]]&lt;=850),Banking_Credit_Risk_Dirty[[#This Row],[Borrower_Credit_Score]],"")</f>
        <v>724</v>
      </c>
    </row>
    <row r="432" spans="1:11" x14ac:dyDescent="0.25">
      <c r="A432" s="2" t="s">
        <v>454</v>
      </c>
      <c r="B432" s="2" t="s">
        <v>15</v>
      </c>
      <c r="C432" s="1">
        <v>45688</v>
      </c>
      <c r="D432">
        <v>149617</v>
      </c>
      <c r="E432">
        <v>675</v>
      </c>
      <c r="F432">
        <v>0.23</v>
      </c>
      <c r="G432">
        <v>5</v>
      </c>
      <c r="H432" s="2" t="s">
        <v>22</v>
      </c>
      <c r="I432" s="2" t="s">
        <v>17</v>
      </c>
      <c r="J432">
        <v>19</v>
      </c>
      <c r="K432">
        <f>IF(AND(Banking_Credit_Risk_Dirty[[#This Row],[Borrower_Credit_Score]]&gt;=300,Banking_Credit_Risk_Dirty[[#This Row],[Borrower_Credit_Score]]&lt;=850),Banking_Credit_Risk_Dirty[[#This Row],[Borrower_Credit_Score]],"")</f>
        <v>675</v>
      </c>
    </row>
    <row r="433" spans="1:11" x14ac:dyDescent="0.25">
      <c r="A433" s="2" t="s">
        <v>455</v>
      </c>
      <c r="B433" s="2" t="s">
        <v>21</v>
      </c>
      <c r="C433" s="1">
        <v>45651</v>
      </c>
      <c r="D433">
        <v>102353</v>
      </c>
      <c r="E433">
        <v>821</v>
      </c>
      <c r="F433">
        <v>0.26</v>
      </c>
      <c r="G433">
        <v>0</v>
      </c>
      <c r="H433" s="2" t="s">
        <v>41</v>
      </c>
      <c r="I433" s="2" t="s">
        <v>13</v>
      </c>
      <c r="J433">
        <v>20</v>
      </c>
      <c r="K433">
        <f>IF(AND(Banking_Credit_Risk_Dirty[[#This Row],[Borrower_Credit_Score]]&gt;=300,Banking_Credit_Risk_Dirty[[#This Row],[Borrower_Credit_Score]]&lt;=850),Banking_Credit_Risk_Dirty[[#This Row],[Borrower_Credit_Score]],"")</f>
        <v>821</v>
      </c>
    </row>
    <row r="434" spans="1:11" x14ac:dyDescent="0.25">
      <c r="A434" s="2" t="s">
        <v>456</v>
      </c>
      <c r="B434" s="2" t="s">
        <v>43</v>
      </c>
      <c r="C434" s="1">
        <v>45917</v>
      </c>
      <c r="D434">
        <v>96057</v>
      </c>
      <c r="E434">
        <v>627</v>
      </c>
      <c r="F434">
        <v>0.16</v>
      </c>
      <c r="G434">
        <v>0</v>
      </c>
      <c r="H434" s="2" t="s">
        <v>19</v>
      </c>
      <c r="I434" s="2" t="s">
        <v>13</v>
      </c>
      <c r="J434">
        <v>11</v>
      </c>
      <c r="K434">
        <f>IF(AND(Banking_Credit_Risk_Dirty[[#This Row],[Borrower_Credit_Score]]&gt;=300,Banking_Credit_Risk_Dirty[[#This Row],[Borrower_Credit_Score]]&lt;=850),Banking_Credit_Risk_Dirty[[#This Row],[Borrower_Credit_Score]],"")</f>
        <v>627</v>
      </c>
    </row>
    <row r="435" spans="1:11" x14ac:dyDescent="0.25">
      <c r="A435" s="2" t="s">
        <v>457</v>
      </c>
      <c r="B435" s="2" t="s">
        <v>21</v>
      </c>
      <c r="C435" s="1">
        <v>45296</v>
      </c>
      <c r="D435">
        <v>142984</v>
      </c>
      <c r="E435">
        <v>640</v>
      </c>
      <c r="F435">
        <v>0.49</v>
      </c>
      <c r="G435">
        <v>0</v>
      </c>
      <c r="H435" s="2" t="s">
        <v>19</v>
      </c>
      <c r="I435" s="2" t="s">
        <v>13</v>
      </c>
      <c r="J435">
        <v>32</v>
      </c>
      <c r="K435">
        <f>IF(AND(Banking_Credit_Risk_Dirty[[#This Row],[Borrower_Credit_Score]]&gt;=300,Banking_Credit_Risk_Dirty[[#This Row],[Borrower_Credit_Score]]&lt;=850),Banking_Credit_Risk_Dirty[[#This Row],[Borrower_Credit_Score]],"")</f>
        <v>640</v>
      </c>
    </row>
    <row r="436" spans="1:11" x14ac:dyDescent="0.25">
      <c r="A436" s="2" t="s">
        <v>458</v>
      </c>
      <c r="B436" s="2" t="s">
        <v>15</v>
      </c>
      <c r="C436" s="1">
        <v>45393</v>
      </c>
      <c r="D436">
        <v>77317</v>
      </c>
      <c r="E436">
        <v>563</v>
      </c>
      <c r="F436">
        <v>0.34</v>
      </c>
      <c r="G436">
        <v>0</v>
      </c>
      <c r="H436" s="2" t="s">
        <v>27</v>
      </c>
      <c r="I436" s="2" t="s">
        <v>13</v>
      </c>
      <c r="J436">
        <v>28</v>
      </c>
      <c r="K436">
        <f>IF(AND(Banking_Credit_Risk_Dirty[[#This Row],[Borrower_Credit_Score]]&gt;=300,Banking_Credit_Risk_Dirty[[#This Row],[Borrower_Credit_Score]]&lt;=850),Banking_Credit_Risk_Dirty[[#This Row],[Borrower_Credit_Score]],"")</f>
        <v>563</v>
      </c>
    </row>
    <row r="437" spans="1:11" x14ac:dyDescent="0.25">
      <c r="A437" s="2" t="s">
        <v>459</v>
      </c>
      <c r="B437" s="2" t="s">
        <v>15</v>
      </c>
      <c r="C437" s="1">
        <v>45426</v>
      </c>
      <c r="D437">
        <v>121496</v>
      </c>
      <c r="E437">
        <v>552</v>
      </c>
      <c r="F437">
        <v>0.36</v>
      </c>
      <c r="G437">
        <v>6</v>
      </c>
      <c r="H437" s="2" t="s">
        <v>22</v>
      </c>
      <c r="I437" s="2" t="s">
        <v>23</v>
      </c>
      <c r="J437">
        <v>27</v>
      </c>
      <c r="K437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438" spans="1:11" x14ac:dyDescent="0.25">
      <c r="A438" s="2" t="s">
        <v>460</v>
      </c>
      <c r="B438" s="2" t="s">
        <v>43</v>
      </c>
      <c r="C438" s="1">
        <v>45668</v>
      </c>
      <c r="D438">
        <v>120257</v>
      </c>
      <c r="E438">
        <v>680</v>
      </c>
      <c r="F438">
        <v>0.26</v>
      </c>
      <c r="G438">
        <v>0</v>
      </c>
      <c r="H438" s="2" t="s">
        <v>12</v>
      </c>
      <c r="I438" s="2" t="s">
        <v>13</v>
      </c>
      <c r="J438">
        <v>19</v>
      </c>
      <c r="K438">
        <f>IF(AND(Banking_Credit_Risk_Dirty[[#This Row],[Borrower_Credit_Score]]&gt;=300,Banking_Credit_Risk_Dirty[[#This Row],[Borrower_Credit_Score]]&lt;=850),Banking_Credit_Risk_Dirty[[#This Row],[Borrower_Credit_Score]],"")</f>
        <v>680</v>
      </c>
    </row>
    <row r="439" spans="1:11" x14ac:dyDescent="0.25">
      <c r="A439" s="2" t="s">
        <v>461</v>
      </c>
      <c r="B439" s="2" t="s">
        <v>21</v>
      </c>
      <c r="C439" s="1">
        <v>45746</v>
      </c>
      <c r="D439">
        <v>104183</v>
      </c>
      <c r="E439">
        <v>9999</v>
      </c>
      <c r="F439">
        <v>0.6</v>
      </c>
      <c r="G439">
        <v>5</v>
      </c>
      <c r="H439" s="2" t="s">
        <v>19</v>
      </c>
      <c r="I439" s="2" t="s">
        <v>89</v>
      </c>
      <c r="J439">
        <v>17</v>
      </c>
      <c r="K43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440" spans="1:11" x14ac:dyDescent="0.25">
      <c r="A440" s="2" t="s">
        <v>462</v>
      </c>
      <c r="B440" s="2" t="s">
        <v>15</v>
      </c>
      <c r="C440" s="1">
        <v>45571</v>
      </c>
      <c r="D440">
        <v>144185</v>
      </c>
      <c r="E440">
        <v>724</v>
      </c>
      <c r="F440">
        <v>0.63</v>
      </c>
      <c r="G440">
        <v>0</v>
      </c>
      <c r="H440" s="2" t="s">
        <v>19</v>
      </c>
      <c r="I440" s="2" t="s">
        <v>23</v>
      </c>
      <c r="J440">
        <v>23</v>
      </c>
      <c r="K440">
        <f>IF(AND(Banking_Credit_Risk_Dirty[[#This Row],[Borrower_Credit_Score]]&gt;=300,Banking_Credit_Risk_Dirty[[#This Row],[Borrower_Credit_Score]]&lt;=850),Banking_Credit_Risk_Dirty[[#This Row],[Borrower_Credit_Score]],"")</f>
        <v>724</v>
      </c>
    </row>
    <row r="441" spans="1:11" x14ac:dyDescent="0.25">
      <c r="A441" s="2" t="s">
        <v>463</v>
      </c>
      <c r="B441" s="2" t="s">
        <v>15</v>
      </c>
      <c r="C441" s="1">
        <v>45771</v>
      </c>
      <c r="D441">
        <v>96188</v>
      </c>
      <c r="E441">
        <v>587</v>
      </c>
      <c r="F441">
        <v>0.65</v>
      </c>
      <c r="G441">
        <v>0</v>
      </c>
      <c r="H441" s="2" t="s">
        <v>22</v>
      </c>
      <c r="I441" s="2" t="s">
        <v>13</v>
      </c>
      <c r="J441">
        <v>16</v>
      </c>
      <c r="K441">
        <f>IF(AND(Banking_Credit_Risk_Dirty[[#This Row],[Borrower_Credit_Score]]&gt;=300,Banking_Credit_Risk_Dirty[[#This Row],[Borrower_Credit_Score]]&lt;=850),Banking_Credit_Risk_Dirty[[#This Row],[Borrower_Credit_Score]],"")</f>
        <v>587</v>
      </c>
    </row>
    <row r="442" spans="1:11" x14ac:dyDescent="0.25">
      <c r="A442" s="2" t="s">
        <v>464</v>
      </c>
      <c r="B442" s="2" t="s">
        <v>43</v>
      </c>
      <c r="C442" s="1">
        <v>45932</v>
      </c>
      <c r="D442">
        <v>5971</v>
      </c>
      <c r="E442">
        <v>835</v>
      </c>
      <c r="F442">
        <v>0.26</v>
      </c>
      <c r="G442">
        <v>0</v>
      </c>
      <c r="H442" s="2" t="s">
        <v>12</v>
      </c>
      <c r="I442" s="2" t="s">
        <v>13</v>
      </c>
      <c r="J442">
        <v>11</v>
      </c>
      <c r="K442">
        <f>IF(AND(Banking_Credit_Risk_Dirty[[#This Row],[Borrower_Credit_Score]]&gt;=300,Banking_Credit_Risk_Dirty[[#This Row],[Borrower_Credit_Score]]&lt;=850),Banking_Credit_Risk_Dirty[[#This Row],[Borrower_Credit_Score]],"")</f>
        <v>835</v>
      </c>
    </row>
    <row r="443" spans="1:11" x14ac:dyDescent="0.25">
      <c r="A443" s="2" t="s">
        <v>465</v>
      </c>
      <c r="B443" s="2" t="s">
        <v>21</v>
      </c>
      <c r="C443" s="1">
        <v>45561</v>
      </c>
      <c r="D443">
        <v>113036</v>
      </c>
      <c r="E443">
        <v>513</v>
      </c>
      <c r="F443">
        <v>0.56999999999999995</v>
      </c>
      <c r="G443">
        <v>1</v>
      </c>
      <c r="H443" s="2" t="s">
        <v>27</v>
      </c>
      <c r="I443" s="2" t="s">
        <v>89</v>
      </c>
      <c r="J443">
        <v>23</v>
      </c>
      <c r="K443">
        <f>IF(AND(Banking_Credit_Risk_Dirty[[#This Row],[Borrower_Credit_Score]]&gt;=300,Banking_Credit_Risk_Dirty[[#This Row],[Borrower_Credit_Score]]&lt;=850),Banking_Credit_Risk_Dirty[[#This Row],[Borrower_Credit_Score]],"")</f>
        <v>513</v>
      </c>
    </row>
    <row r="444" spans="1:11" x14ac:dyDescent="0.25">
      <c r="A444" s="2" t="s">
        <v>466</v>
      </c>
      <c r="B444" s="2" t="s">
        <v>21</v>
      </c>
      <c r="C444" s="1">
        <v>45368</v>
      </c>
      <c r="D444">
        <v>17097</v>
      </c>
      <c r="E444">
        <v>811</v>
      </c>
      <c r="F444">
        <v>0.4</v>
      </c>
      <c r="G444">
        <v>1</v>
      </c>
      <c r="H444" s="2" t="s">
        <v>27</v>
      </c>
      <c r="I444" s="2" t="s">
        <v>23</v>
      </c>
      <c r="J444">
        <v>29</v>
      </c>
      <c r="K444">
        <f>IF(AND(Banking_Credit_Risk_Dirty[[#This Row],[Borrower_Credit_Score]]&gt;=300,Banking_Credit_Risk_Dirty[[#This Row],[Borrower_Credit_Score]]&lt;=850),Banking_Credit_Risk_Dirty[[#This Row],[Borrower_Credit_Score]],"")</f>
        <v>811</v>
      </c>
    </row>
    <row r="445" spans="1:11" x14ac:dyDescent="0.25">
      <c r="A445" s="2" t="s">
        <v>467</v>
      </c>
      <c r="B445" s="2" t="s">
        <v>21</v>
      </c>
      <c r="C445" s="1">
        <v>45490</v>
      </c>
      <c r="D445">
        <v>51284</v>
      </c>
      <c r="E445">
        <v>689</v>
      </c>
      <c r="F445">
        <v>0.2</v>
      </c>
      <c r="G445">
        <v>0</v>
      </c>
      <c r="H445" s="2" t="s">
        <v>19</v>
      </c>
      <c r="I445" s="2" t="s">
        <v>13</v>
      </c>
      <c r="J445">
        <v>25</v>
      </c>
      <c r="K445">
        <f>IF(AND(Banking_Credit_Risk_Dirty[[#This Row],[Borrower_Credit_Score]]&gt;=300,Banking_Credit_Risk_Dirty[[#This Row],[Borrower_Credit_Score]]&lt;=850),Banking_Credit_Risk_Dirty[[#This Row],[Borrower_Credit_Score]],"")</f>
        <v>689</v>
      </c>
    </row>
    <row r="446" spans="1:11" x14ac:dyDescent="0.25">
      <c r="A446" s="2" t="s">
        <v>468</v>
      </c>
      <c r="B446" s="2" t="s">
        <v>21</v>
      </c>
      <c r="C446" s="1">
        <v>45625</v>
      </c>
      <c r="D446">
        <v>143293</v>
      </c>
      <c r="E446">
        <v>552</v>
      </c>
      <c r="F446">
        <v>0.53</v>
      </c>
      <c r="G446">
        <v>0</v>
      </c>
      <c r="H446" s="2" t="s">
        <v>16</v>
      </c>
      <c r="I446" s="2" t="s">
        <v>23</v>
      </c>
      <c r="J446">
        <v>21</v>
      </c>
      <c r="K446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447" spans="1:11" x14ac:dyDescent="0.25">
      <c r="A447" s="2" t="s">
        <v>469</v>
      </c>
      <c r="B447" s="2" t="s">
        <v>15</v>
      </c>
      <c r="C447" s="1">
        <v>45333</v>
      </c>
      <c r="D447">
        <v>60664</v>
      </c>
      <c r="E447">
        <v>678</v>
      </c>
      <c r="F447">
        <v>0.54</v>
      </c>
      <c r="G447">
        <v>0</v>
      </c>
      <c r="H447" s="2" t="s">
        <v>22</v>
      </c>
      <c r="I447" s="2" t="s">
        <v>17</v>
      </c>
      <c r="J447">
        <v>30</v>
      </c>
      <c r="K447">
        <f>IF(AND(Banking_Credit_Risk_Dirty[[#This Row],[Borrower_Credit_Score]]&gt;=300,Banking_Credit_Risk_Dirty[[#This Row],[Borrower_Credit_Score]]&lt;=850),Banking_Credit_Risk_Dirty[[#This Row],[Borrower_Credit_Score]],"")</f>
        <v>678</v>
      </c>
    </row>
    <row r="448" spans="1:11" x14ac:dyDescent="0.25">
      <c r="A448" s="2" t="s">
        <v>470</v>
      </c>
      <c r="B448" s="2" t="s">
        <v>43</v>
      </c>
      <c r="C448" s="1">
        <v>45784</v>
      </c>
      <c r="D448">
        <v>63696</v>
      </c>
      <c r="E448">
        <v>551</v>
      </c>
      <c r="F448">
        <v>0.6</v>
      </c>
      <c r="G448">
        <v>2</v>
      </c>
      <c r="H448" s="2" t="s">
        <v>19</v>
      </c>
      <c r="I448" s="2" t="s">
        <v>23</v>
      </c>
      <c r="J448">
        <v>16</v>
      </c>
      <c r="K448">
        <f>IF(AND(Banking_Credit_Risk_Dirty[[#This Row],[Borrower_Credit_Score]]&gt;=300,Banking_Credit_Risk_Dirty[[#This Row],[Borrower_Credit_Score]]&lt;=850),Banking_Credit_Risk_Dirty[[#This Row],[Borrower_Credit_Score]],"")</f>
        <v>551</v>
      </c>
    </row>
    <row r="449" spans="1:11" x14ac:dyDescent="0.25">
      <c r="A449" s="2" t="s">
        <v>471</v>
      </c>
      <c r="B449" s="2" t="s">
        <v>15</v>
      </c>
      <c r="C449" s="1">
        <v>45627</v>
      </c>
      <c r="D449">
        <v>84614</v>
      </c>
      <c r="E449">
        <v>662</v>
      </c>
      <c r="F449">
        <v>0.27</v>
      </c>
      <c r="G449">
        <v>0</v>
      </c>
      <c r="H449" s="2" t="s">
        <v>27</v>
      </c>
      <c r="I449" s="2" t="s">
        <v>17</v>
      </c>
      <c r="J449">
        <v>21</v>
      </c>
      <c r="K449">
        <f>IF(AND(Banking_Credit_Risk_Dirty[[#This Row],[Borrower_Credit_Score]]&gt;=300,Banking_Credit_Risk_Dirty[[#This Row],[Borrower_Credit_Score]]&lt;=850),Banking_Credit_Risk_Dirty[[#This Row],[Borrower_Credit_Score]],"")</f>
        <v>662</v>
      </c>
    </row>
    <row r="450" spans="1:11" x14ac:dyDescent="0.25">
      <c r="A450" s="2" t="s">
        <v>472</v>
      </c>
      <c r="B450" s="2" t="s">
        <v>43</v>
      </c>
      <c r="C450" s="1">
        <v>45695</v>
      </c>
      <c r="D450">
        <v>67169</v>
      </c>
      <c r="E450">
        <v>760</v>
      </c>
      <c r="F450">
        <v>0.39</v>
      </c>
      <c r="G450">
        <v>0</v>
      </c>
      <c r="H450" s="2" t="s">
        <v>27</v>
      </c>
      <c r="I450" s="2" t="s">
        <v>13</v>
      </c>
      <c r="J450">
        <v>19</v>
      </c>
      <c r="K450">
        <f>IF(AND(Banking_Credit_Risk_Dirty[[#This Row],[Borrower_Credit_Score]]&gt;=300,Banking_Credit_Risk_Dirty[[#This Row],[Borrower_Credit_Score]]&lt;=850),Banking_Credit_Risk_Dirty[[#This Row],[Borrower_Credit_Score]],"")</f>
        <v>760</v>
      </c>
    </row>
    <row r="451" spans="1:11" x14ac:dyDescent="0.25">
      <c r="A451" s="2" t="s">
        <v>473</v>
      </c>
      <c r="B451" s="2" t="s">
        <v>43</v>
      </c>
      <c r="C451" s="1">
        <v>45920</v>
      </c>
      <c r="D451">
        <v>72068</v>
      </c>
      <c r="E451">
        <v>540</v>
      </c>
      <c r="F451">
        <v>0.52</v>
      </c>
      <c r="G451">
        <v>6</v>
      </c>
      <c r="H451" s="2" t="s">
        <v>12</v>
      </c>
      <c r="I451" s="2" t="s">
        <v>89</v>
      </c>
      <c r="J451">
        <v>11</v>
      </c>
      <c r="K451">
        <f>IF(AND(Banking_Credit_Risk_Dirty[[#This Row],[Borrower_Credit_Score]]&gt;=300,Banking_Credit_Risk_Dirty[[#This Row],[Borrower_Credit_Score]]&lt;=850),Banking_Credit_Risk_Dirty[[#This Row],[Borrower_Credit_Score]],"")</f>
        <v>540</v>
      </c>
    </row>
    <row r="452" spans="1:11" x14ac:dyDescent="0.25">
      <c r="A452" s="2" t="s">
        <v>474</v>
      </c>
      <c r="B452" s="2" t="s">
        <v>21</v>
      </c>
      <c r="C452" s="1">
        <v>45434</v>
      </c>
      <c r="D452">
        <v>120108</v>
      </c>
      <c r="E452">
        <v>828</v>
      </c>
      <c r="F452">
        <v>0.6</v>
      </c>
      <c r="G452">
        <v>6</v>
      </c>
      <c r="H452" s="2" t="s">
        <v>12</v>
      </c>
      <c r="I452" s="2" t="s">
        <v>23</v>
      </c>
      <c r="J452">
        <v>27</v>
      </c>
      <c r="K452">
        <f>IF(AND(Banking_Credit_Risk_Dirty[[#This Row],[Borrower_Credit_Score]]&gt;=300,Banking_Credit_Risk_Dirty[[#This Row],[Borrower_Credit_Score]]&lt;=850),Banking_Credit_Risk_Dirty[[#This Row],[Borrower_Credit_Score]],"")</f>
        <v>828</v>
      </c>
    </row>
    <row r="453" spans="1:11" x14ac:dyDescent="0.25">
      <c r="A453" s="2" t="s">
        <v>475</v>
      </c>
      <c r="B453" s="2" t="s">
        <v>11</v>
      </c>
      <c r="C453" s="1">
        <v>45839</v>
      </c>
      <c r="D453">
        <v>31714</v>
      </c>
      <c r="E453">
        <v>490</v>
      </c>
      <c r="F453">
        <v>0.52</v>
      </c>
      <c r="G453">
        <v>6</v>
      </c>
      <c r="H453" s="2" t="s">
        <v>22</v>
      </c>
      <c r="I453" s="2" t="s">
        <v>89</v>
      </c>
      <c r="J453">
        <v>14</v>
      </c>
      <c r="K453">
        <f>IF(AND(Banking_Credit_Risk_Dirty[[#This Row],[Borrower_Credit_Score]]&gt;=300,Banking_Credit_Risk_Dirty[[#This Row],[Borrower_Credit_Score]]&lt;=850),Banking_Credit_Risk_Dirty[[#This Row],[Borrower_Credit_Score]],"")</f>
        <v>490</v>
      </c>
    </row>
    <row r="454" spans="1:11" x14ac:dyDescent="0.25">
      <c r="A454" s="2" t="s">
        <v>476</v>
      </c>
      <c r="B454" s="2" t="s">
        <v>21</v>
      </c>
      <c r="C454" s="1">
        <v>45691</v>
      </c>
      <c r="D454">
        <v>40662</v>
      </c>
      <c r="E454">
        <v>467</v>
      </c>
      <c r="F454">
        <v>0.25</v>
      </c>
      <c r="G454">
        <v>3</v>
      </c>
      <c r="H454" s="2" t="s">
        <v>19</v>
      </c>
      <c r="I454" s="2" t="s">
        <v>17</v>
      </c>
      <c r="J454">
        <v>19</v>
      </c>
      <c r="K454">
        <f>IF(AND(Banking_Credit_Risk_Dirty[[#This Row],[Borrower_Credit_Score]]&gt;=300,Banking_Credit_Risk_Dirty[[#This Row],[Borrower_Credit_Score]]&lt;=850),Banking_Credit_Risk_Dirty[[#This Row],[Borrower_Credit_Score]],"")</f>
        <v>467</v>
      </c>
    </row>
    <row r="455" spans="1:11" x14ac:dyDescent="0.25">
      <c r="A455" s="2" t="s">
        <v>477</v>
      </c>
      <c r="B455" s="2" t="s">
        <v>21</v>
      </c>
      <c r="C455" s="1">
        <v>45426</v>
      </c>
      <c r="D455">
        <v>58960</v>
      </c>
      <c r="E455">
        <v>619</v>
      </c>
      <c r="F455">
        <v>0.51</v>
      </c>
      <c r="G455">
        <v>0</v>
      </c>
      <c r="H455" s="2" t="s">
        <v>12</v>
      </c>
      <c r="I455" s="2" t="s">
        <v>13</v>
      </c>
      <c r="J455">
        <v>27</v>
      </c>
      <c r="K455">
        <f>IF(AND(Banking_Credit_Risk_Dirty[[#This Row],[Borrower_Credit_Score]]&gt;=300,Banking_Credit_Risk_Dirty[[#This Row],[Borrower_Credit_Score]]&lt;=850),Banking_Credit_Risk_Dirty[[#This Row],[Borrower_Credit_Score]],"")</f>
        <v>619</v>
      </c>
    </row>
    <row r="456" spans="1:11" x14ac:dyDescent="0.25">
      <c r="A456" s="2" t="s">
        <v>478</v>
      </c>
      <c r="B456" s="2" t="s">
        <v>21</v>
      </c>
      <c r="C456" s="1">
        <v>45569</v>
      </c>
      <c r="D456">
        <v>145733</v>
      </c>
      <c r="E456">
        <v>500</v>
      </c>
      <c r="F456">
        <v>0.41</v>
      </c>
      <c r="G456">
        <v>0</v>
      </c>
      <c r="H456" s="2" t="s">
        <v>27</v>
      </c>
      <c r="I456" s="2" t="s">
        <v>13</v>
      </c>
      <c r="J456">
        <v>23</v>
      </c>
      <c r="K456">
        <f>IF(AND(Banking_Credit_Risk_Dirty[[#This Row],[Borrower_Credit_Score]]&gt;=300,Banking_Credit_Risk_Dirty[[#This Row],[Borrower_Credit_Score]]&lt;=850),Banking_Credit_Risk_Dirty[[#This Row],[Borrower_Credit_Score]],"")</f>
        <v>500</v>
      </c>
    </row>
    <row r="457" spans="1:11" x14ac:dyDescent="0.25">
      <c r="A457" s="2" t="s">
        <v>479</v>
      </c>
      <c r="B457" s="2" t="s">
        <v>21</v>
      </c>
      <c r="C457" s="1">
        <v>45895</v>
      </c>
      <c r="D457">
        <v>10365</v>
      </c>
      <c r="E457">
        <v>551</v>
      </c>
      <c r="F457">
        <v>0.17</v>
      </c>
      <c r="G457">
        <v>6</v>
      </c>
      <c r="H457" s="2" t="s">
        <v>12</v>
      </c>
      <c r="I457" s="2" t="s">
        <v>17</v>
      </c>
      <c r="J457">
        <v>12</v>
      </c>
      <c r="K457">
        <f>IF(AND(Banking_Credit_Risk_Dirty[[#This Row],[Borrower_Credit_Score]]&gt;=300,Banking_Credit_Risk_Dirty[[#This Row],[Borrower_Credit_Score]]&lt;=850),Banking_Credit_Risk_Dirty[[#This Row],[Borrower_Credit_Score]],"")</f>
        <v>551</v>
      </c>
    </row>
    <row r="458" spans="1:11" x14ac:dyDescent="0.25">
      <c r="A458" s="2" t="s">
        <v>480</v>
      </c>
      <c r="B458" s="2" t="s">
        <v>15</v>
      </c>
      <c r="C458" s="1">
        <v>45955</v>
      </c>
      <c r="D458">
        <v>47492</v>
      </c>
      <c r="E458">
        <v>497</v>
      </c>
      <c r="F458">
        <v>0.65</v>
      </c>
      <c r="G458">
        <v>5</v>
      </c>
      <c r="H458" s="2" t="s">
        <v>16</v>
      </c>
      <c r="I458" s="2" t="s">
        <v>89</v>
      </c>
      <c r="J458">
        <v>10</v>
      </c>
      <c r="K458">
        <f>IF(AND(Banking_Credit_Risk_Dirty[[#This Row],[Borrower_Credit_Score]]&gt;=300,Banking_Credit_Risk_Dirty[[#This Row],[Borrower_Credit_Score]]&lt;=850),Banking_Credit_Risk_Dirty[[#This Row],[Borrower_Credit_Score]],"")</f>
        <v>497</v>
      </c>
    </row>
    <row r="459" spans="1:11" x14ac:dyDescent="0.25">
      <c r="A459" s="2" t="s">
        <v>481</v>
      </c>
      <c r="B459" s="2" t="s">
        <v>11</v>
      </c>
      <c r="C459" s="1">
        <v>45630</v>
      </c>
      <c r="D459">
        <v>35115</v>
      </c>
      <c r="E459">
        <v>9999</v>
      </c>
      <c r="F459">
        <v>0.2</v>
      </c>
      <c r="G459">
        <v>1</v>
      </c>
      <c r="H459" s="2" t="s">
        <v>12</v>
      </c>
      <c r="I459" s="2" t="s">
        <v>17</v>
      </c>
      <c r="J459">
        <v>21</v>
      </c>
      <c r="K45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460" spans="1:11" x14ac:dyDescent="0.25">
      <c r="A460" s="2" t="s">
        <v>482</v>
      </c>
      <c r="B460" s="2" t="s">
        <v>43</v>
      </c>
      <c r="C460" s="1">
        <v>45950</v>
      </c>
      <c r="D460">
        <v>126418</v>
      </c>
      <c r="E460">
        <v>688</v>
      </c>
      <c r="F460">
        <v>0.16</v>
      </c>
      <c r="G460">
        <v>0</v>
      </c>
      <c r="H460" s="2" t="s">
        <v>19</v>
      </c>
      <c r="I460" s="2" t="s">
        <v>13</v>
      </c>
      <c r="J460">
        <v>10</v>
      </c>
      <c r="K460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461" spans="1:11" x14ac:dyDescent="0.25">
      <c r="A461" s="2" t="s">
        <v>483</v>
      </c>
      <c r="B461" s="2" t="s">
        <v>11</v>
      </c>
      <c r="C461" s="1">
        <v>45546</v>
      </c>
      <c r="D461">
        <v>135264</v>
      </c>
      <c r="E461">
        <v>508</v>
      </c>
      <c r="F461">
        <v>0.32</v>
      </c>
      <c r="G461">
        <v>0</v>
      </c>
      <c r="H461" s="2" t="s">
        <v>19</v>
      </c>
      <c r="I461" s="2" t="s">
        <v>13</v>
      </c>
      <c r="J461">
        <v>23</v>
      </c>
      <c r="K461">
        <f>IF(AND(Banking_Credit_Risk_Dirty[[#This Row],[Borrower_Credit_Score]]&gt;=300,Banking_Credit_Risk_Dirty[[#This Row],[Borrower_Credit_Score]]&lt;=850),Banking_Credit_Risk_Dirty[[#This Row],[Borrower_Credit_Score]],"")</f>
        <v>508</v>
      </c>
    </row>
    <row r="462" spans="1:11" x14ac:dyDescent="0.25">
      <c r="A462" s="2" t="s">
        <v>484</v>
      </c>
      <c r="B462" s="2" t="s">
        <v>11</v>
      </c>
      <c r="C462" s="1">
        <v>45466</v>
      </c>
      <c r="D462">
        <v>138843</v>
      </c>
      <c r="E462">
        <v>558</v>
      </c>
      <c r="F462">
        <v>0.44</v>
      </c>
      <c r="G462">
        <v>0</v>
      </c>
      <c r="H462" s="2" t="s">
        <v>19</v>
      </c>
      <c r="I462" s="2" t="s">
        <v>13</v>
      </c>
      <c r="J462">
        <v>26</v>
      </c>
      <c r="K462">
        <f>IF(AND(Banking_Credit_Risk_Dirty[[#This Row],[Borrower_Credit_Score]]&gt;=300,Banking_Credit_Risk_Dirty[[#This Row],[Borrower_Credit_Score]]&lt;=850),Banking_Credit_Risk_Dirty[[#This Row],[Borrower_Credit_Score]],"")</f>
        <v>558</v>
      </c>
    </row>
    <row r="463" spans="1:11" x14ac:dyDescent="0.25">
      <c r="A463" s="2" t="s">
        <v>485</v>
      </c>
      <c r="B463" s="2" t="s">
        <v>15</v>
      </c>
      <c r="C463" s="1">
        <v>45705</v>
      </c>
      <c r="D463">
        <v>21218</v>
      </c>
      <c r="E463">
        <v>695</v>
      </c>
      <c r="F463">
        <v>0.22</v>
      </c>
      <c r="G463">
        <v>2</v>
      </c>
      <c r="H463" s="2" t="s">
        <v>41</v>
      </c>
      <c r="I463" s="2" t="s">
        <v>23</v>
      </c>
      <c r="J463">
        <v>18</v>
      </c>
      <c r="K463">
        <f>IF(AND(Banking_Credit_Risk_Dirty[[#This Row],[Borrower_Credit_Score]]&gt;=300,Banking_Credit_Risk_Dirty[[#This Row],[Borrower_Credit_Score]]&lt;=850),Banking_Credit_Risk_Dirty[[#This Row],[Borrower_Credit_Score]],"")</f>
        <v>695</v>
      </c>
    </row>
    <row r="464" spans="1:11" x14ac:dyDescent="0.25">
      <c r="A464" s="2" t="s">
        <v>486</v>
      </c>
      <c r="B464" s="2" t="s">
        <v>11</v>
      </c>
      <c r="C464" s="1">
        <v>45380</v>
      </c>
      <c r="D464">
        <v>138869</v>
      </c>
      <c r="E464">
        <v>668</v>
      </c>
      <c r="F464">
        <v>0.18</v>
      </c>
      <c r="G464">
        <v>0</v>
      </c>
      <c r="H464" s="2" t="s">
        <v>19</v>
      </c>
      <c r="I464" s="2" t="s">
        <v>13</v>
      </c>
      <c r="J464">
        <v>29</v>
      </c>
      <c r="K464">
        <f>IF(AND(Banking_Credit_Risk_Dirty[[#This Row],[Borrower_Credit_Score]]&gt;=300,Banking_Credit_Risk_Dirty[[#This Row],[Borrower_Credit_Score]]&lt;=850),Banking_Credit_Risk_Dirty[[#This Row],[Borrower_Credit_Score]],"")</f>
        <v>668</v>
      </c>
    </row>
    <row r="465" spans="1:11" x14ac:dyDescent="0.25">
      <c r="A465" s="2" t="s">
        <v>487</v>
      </c>
      <c r="B465" s="2" t="s">
        <v>11</v>
      </c>
      <c r="C465" s="1">
        <v>45693</v>
      </c>
      <c r="D465">
        <v>138033</v>
      </c>
      <c r="E465">
        <v>704</v>
      </c>
      <c r="F465">
        <v>0.49</v>
      </c>
      <c r="G465">
        <v>0</v>
      </c>
      <c r="H465" s="2" t="s">
        <v>27</v>
      </c>
      <c r="I465" s="2" t="s">
        <v>13</v>
      </c>
      <c r="J465">
        <v>19</v>
      </c>
      <c r="K465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466" spans="1:11" x14ac:dyDescent="0.25">
      <c r="A466" s="2" t="s">
        <v>488</v>
      </c>
      <c r="B466" s="2" t="s">
        <v>43</v>
      </c>
      <c r="C466" s="1">
        <v>45298</v>
      </c>
      <c r="D466">
        <v>98856</v>
      </c>
      <c r="E466">
        <v>647</v>
      </c>
      <c r="F466">
        <v>0.18</v>
      </c>
      <c r="G466">
        <v>0</v>
      </c>
      <c r="H466" s="2" t="s">
        <v>41</v>
      </c>
      <c r="I466" s="2" t="s">
        <v>13</v>
      </c>
      <c r="J466">
        <v>32</v>
      </c>
      <c r="K466">
        <f>IF(AND(Banking_Credit_Risk_Dirty[[#This Row],[Borrower_Credit_Score]]&gt;=300,Banking_Credit_Risk_Dirty[[#This Row],[Borrower_Credit_Score]]&lt;=850),Banking_Credit_Risk_Dirty[[#This Row],[Borrower_Credit_Score]],"")</f>
        <v>647</v>
      </c>
    </row>
    <row r="467" spans="1:11" x14ac:dyDescent="0.25">
      <c r="A467" s="2" t="s">
        <v>489</v>
      </c>
      <c r="B467" s="2" t="s">
        <v>15</v>
      </c>
      <c r="C467" s="1">
        <v>45640</v>
      </c>
      <c r="D467">
        <v>95311</v>
      </c>
      <c r="E467">
        <v>827</v>
      </c>
      <c r="F467">
        <v>0.39</v>
      </c>
      <c r="G467">
        <v>0</v>
      </c>
      <c r="H467" s="2" t="s">
        <v>41</v>
      </c>
      <c r="I467" s="2" t="s">
        <v>13</v>
      </c>
      <c r="J467">
        <v>20</v>
      </c>
      <c r="K467">
        <f>IF(AND(Banking_Credit_Risk_Dirty[[#This Row],[Borrower_Credit_Score]]&gt;=300,Banking_Credit_Risk_Dirty[[#This Row],[Borrower_Credit_Score]]&lt;=850),Banking_Credit_Risk_Dirty[[#This Row],[Borrower_Credit_Score]],"")</f>
        <v>827</v>
      </c>
    </row>
    <row r="468" spans="1:11" x14ac:dyDescent="0.25">
      <c r="A468" s="2" t="s">
        <v>490</v>
      </c>
      <c r="B468" s="2" t="s">
        <v>21</v>
      </c>
      <c r="C468" s="1">
        <v>45617</v>
      </c>
      <c r="D468">
        <v>45951</v>
      </c>
      <c r="E468">
        <v>658</v>
      </c>
      <c r="F468">
        <v>0.23</v>
      </c>
      <c r="G468">
        <v>0</v>
      </c>
      <c r="H468" s="2" t="s">
        <v>19</v>
      </c>
      <c r="I468" s="2" t="s">
        <v>13</v>
      </c>
      <c r="J468">
        <v>21</v>
      </c>
      <c r="K468">
        <f>IF(AND(Banking_Credit_Risk_Dirty[[#This Row],[Borrower_Credit_Score]]&gt;=300,Banking_Credit_Risk_Dirty[[#This Row],[Borrower_Credit_Score]]&lt;=850),Banking_Credit_Risk_Dirty[[#This Row],[Borrower_Credit_Score]],"")</f>
        <v>658</v>
      </c>
    </row>
    <row r="469" spans="1:11" x14ac:dyDescent="0.25">
      <c r="A469" s="2" t="s">
        <v>491</v>
      </c>
      <c r="B469" s="2" t="s">
        <v>21</v>
      </c>
      <c r="C469" s="1">
        <v>45943</v>
      </c>
      <c r="D469">
        <v>141752</v>
      </c>
      <c r="E469">
        <v>468</v>
      </c>
      <c r="F469">
        <v>0.44</v>
      </c>
      <c r="G469">
        <v>2</v>
      </c>
      <c r="H469" s="2" t="s">
        <v>16</v>
      </c>
      <c r="I469" s="2" t="s">
        <v>17</v>
      </c>
      <c r="J469">
        <v>10</v>
      </c>
      <c r="K469">
        <f>IF(AND(Banking_Credit_Risk_Dirty[[#This Row],[Borrower_Credit_Score]]&gt;=300,Banking_Credit_Risk_Dirty[[#This Row],[Borrower_Credit_Score]]&lt;=850),Banking_Credit_Risk_Dirty[[#This Row],[Borrower_Credit_Score]],"")</f>
        <v>468</v>
      </c>
    </row>
    <row r="470" spans="1:11" x14ac:dyDescent="0.25">
      <c r="A470" s="2" t="s">
        <v>492</v>
      </c>
      <c r="B470" s="2" t="s">
        <v>21</v>
      </c>
      <c r="C470" s="1">
        <v>45627</v>
      </c>
      <c r="D470">
        <v>101008</v>
      </c>
      <c r="E470">
        <v>466</v>
      </c>
      <c r="F470">
        <v>0.62</v>
      </c>
      <c r="G470">
        <v>0</v>
      </c>
      <c r="H470" s="2" t="s">
        <v>19</v>
      </c>
      <c r="I470" s="2" t="s">
        <v>13</v>
      </c>
      <c r="J470">
        <v>21</v>
      </c>
      <c r="K470">
        <f>IF(AND(Banking_Credit_Risk_Dirty[[#This Row],[Borrower_Credit_Score]]&gt;=300,Banking_Credit_Risk_Dirty[[#This Row],[Borrower_Credit_Score]]&lt;=850),Banking_Credit_Risk_Dirty[[#This Row],[Borrower_Credit_Score]],"")</f>
        <v>466</v>
      </c>
    </row>
    <row r="471" spans="1:11" x14ac:dyDescent="0.25">
      <c r="A471" s="2" t="s">
        <v>493</v>
      </c>
      <c r="B471" s="2" t="s">
        <v>21</v>
      </c>
      <c r="C471" s="1">
        <v>45723</v>
      </c>
      <c r="D471">
        <v>85641</v>
      </c>
      <c r="E471">
        <v>663</v>
      </c>
      <c r="F471">
        <v>0.45</v>
      </c>
      <c r="G471">
        <v>6</v>
      </c>
      <c r="H471" s="2" t="s">
        <v>16</v>
      </c>
      <c r="I471" s="2" t="s">
        <v>17</v>
      </c>
      <c r="J471">
        <v>18</v>
      </c>
      <c r="K471">
        <f>IF(AND(Banking_Credit_Risk_Dirty[[#This Row],[Borrower_Credit_Score]]&gt;=300,Banking_Credit_Risk_Dirty[[#This Row],[Borrower_Credit_Score]]&lt;=850),Banking_Credit_Risk_Dirty[[#This Row],[Borrower_Credit_Score]],"")</f>
        <v>663</v>
      </c>
    </row>
    <row r="472" spans="1:11" x14ac:dyDescent="0.25">
      <c r="A472" s="2" t="s">
        <v>494</v>
      </c>
      <c r="B472" s="2" t="s">
        <v>11</v>
      </c>
      <c r="C472" s="1">
        <v>45318</v>
      </c>
      <c r="D472">
        <v>77286</v>
      </c>
      <c r="E472">
        <v>801</v>
      </c>
      <c r="F472">
        <v>0.48</v>
      </c>
      <c r="G472">
        <v>3</v>
      </c>
      <c r="H472" s="2" t="s">
        <v>41</v>
      </c>
      <c r="I472" s="2" t="s">
        <v>23</v>
      </c>
      <c r="J472">
        <v>31</v>
      </c>
      <c r="K472">
        <f>IF(AND(Banking_Credit_Risk_Dirty[[#This Row],[Borrower_Credit_Score]]&gt;=300,Banking_Credit_Risk_Dirty[[#This Row],[Borrower_Credit_Score]]&lt;=850),Banking_Credit_Risk_Dirty[[#This Row],[Borrower_Credit_Score]],"")</f>
        <v>801</v>
      </c>
    </row>
    <row r="473" spans="1:11" x14ac:dyDescent="0.25">
      <c r="A473" s="2" t="s">
        <v>495</v>
      </c>
      <c r="B473" s="2" t="s">
        <v>11</v>
      </c>
      <c r="C473" s="1">
        <v>45643</v>
      </c>
      <c r="D473">
        <v>133607</v>
      </c>
      <c r="E473">
        <v>765</v>
      </c>
      <c r="F473">
        <v>0.3</v>
      </c>
      <c r="G473">
        <v>0</v>
      </c>
      <c r="H473" s="2" t="s">
        <v>16</v>
      </c>
      <c r="I473" s="2" t="s">
        <v>13</v>
      </c>
      <c r="J473">
        <v>20</v>
      </c>
      <c r="K473">
        <f>IF(AND(Banking_Credit_Risk_Dirty[[#This Row],[Borrower_Credit_Score]]&gt;=300,Banking_Credit_Risk_Dirty[[#This Row],[Borrower_Credit_Score]]&lt;=850),Banking_Credit_Risk_Dirty[[#This Row],[Borrower_Credit_Score]],"")</f>
        <v>765</v>
      </c>
    </row>
    <row r="474" spans="1:11" x14ac:dyDescent="0.25">
      <c r="A474" s="2" t="s">
        <v>496</v>
      </c>
      <c r="B474" s="2" t="s">
        <v>15</v>
      </c>
      <c r="C474" s="1">
        <v>45514</v>
      </c>
      <c r="D474">
        <v>40528</v>
      </c>
      <c r="E474">
        <v>504</v>
      </c>
      <c r="F474">
        <v>0.54</v>
      </c>
      <c r="G474">
        <v>0</v>
      </c>
      <c r="H474" s="2" t="s">
        <v>27</v>
      </c>
      <c r="I474" s="2" t="s">
        <v>13</v>
      </c>
      <c r="J474">
        <v>24</v>
      </c>
      <c r="K474">
        <f>IF(AND(Banking_Credit_Risk_Dirty[[#This Row],[Borrower_Credit_Score]]&gt;=300,Banking_Credit_Risk_Dirty[[#This Row],[Borrower_Credit_Score]]&lt;=850),Banking_Credit_Risk_Dirty[[#This Row],[Borrower_Credit_Score]],"")</f>
        <v>504</v>
      </c>
    </row>
    <row r="475" spans="1:11" x14ac:dyDescent="0.25">
      <c r="A475" s="2" t="s">
        <v>497</v>
      </c>
      <c r="B475" s="2" t="s">
        <v>21</v>
      </c>
      <c r="C475" s="1">
        <v>45892</v>
      </c>
      <c r="D475">
        <v>149232</v>
      </c>
      <c r="E475">
        <v>608</v>
      </c>
      <c r="F475">
        <v>0.18</v>
      </c>
      <c r="G475">
        <v>5</v>
      </c>
      <c r="H475" s="2" t="s">
        <v>41</v>
      </c>
      <c r="I475" s="2" t="s">
        <v>23</v>
      </c>
      <c r="J475">
        <v>12</v>
      </c>
      <c r="K475">
        <f>IF(AND(Banking_Credit_Risk_Dirty[[#This Row],[Borrower_Credit_Score]]&gt;=300,Banking_Credit_Risk_Dirty[[#This Row],[Borrower_Credit_Score]]&lt;=850),Banking_Credit_Risk_Dirty[[#This Row],[Borrower_Credit_Score]],"")</f>
        <v>608</v>
      </c>
    </row>
    <row r="476" spans="1:11" x14ac:dyDescent="0.25">
      <c r="A476" s="2" t="s">
        <v>498</v>
      </c>
      <c r="B476" s="2" t="s">
        <v>11</v>
      </c>
      <c r="C476" s="1">
        <v>45661</v>
      </c>
      <c r="D476">
        <v>133928</v>
      </c>
      <c r="E476">
        <v>696</v>
      </c>
      <c r="F476">
        <v>0.44</v>
      </c>
      <c r="G476">
        <v>3</v>
      </c>
      <c r="H476" s="2" t="s">
        <v>27</v>
      </c>
      <c r="I476" s="2" t="s">
        <v>23</v>
      </c>
      <c r="J476">
        <v>20</v>
      </c>
      <c r="K476">
        <f>IF(AND(Banking_Credit_Risk_Dirty[[#This Row],[Borrower_Credit_Score]]&gt;=300,Banking_Credit_Risk_Dirty[[#This Row],[Borrower_Credit_Score]]&lt;=850),Banking_Credit_Risk_Dirty[[#This Row],[Borrower_Credit_Score]],"")</f>
        <v>696</v>
      </c>
    </row>
    <row r="477" spans="1:11" x14ac:dyDescent="0.25">
      <c r="A477" s="2" t="s">
        <v>499</v>
      </c>
      <c r="B477" s="2" t="s">
        <v>21</v>
      </c>
      <c r="C477" s="1">
        <v>45408</v>
      </c>
      <c r="D477">
        <v>94449</v>
      </c>
      <c r="E477">
        <v>641</v>
      </c>
      <c r="F477">
        <v>0.15</v>
      </c>
      <c r="G477">
        <v>0</v>
      </c>
      <c r="H477" s="2" t="s">
        <v>16</v>
      </c>
      <c r="I477" s="2" t="s">
        <v>13</v>
      </c>
      <c r="J477">
        <v>28</v>
      </c>
      <c r="K477">
        <f>IF(AND(Banking_Credit_Risk_Dirty[[#This Row],[Borrower_Credit_Score]]&gt;=300,Banking_Credit_Risk_Dirty[[#This Row],[Borrower_Credit_Score]]&lt;=850),Banking_Credit_Risk_Dirty[[#This Row],[Borrower_Credit_Score]],"")</f>
        <v>641</v>
      </c>
    </row>
    <row r="478" spans="1:11" x14ac:dyDescent="0.25">
      <c r="A478" s="2" t="s">
        <v>500</v>
      </c>
      <c r="B478" s="2" t="s">
        <v>43</v>
      </c>
      <c r="C478" s="1">
        <v>45867</v>
      </c>
      <c r="D478">
        <v>94010</v>
      </c>
      <c r="E478">
        <v>686</v>
      </c>
      <c r="F478">
        <v>0.56999999999999995</v>
      </c>
      <c r="G478">
        <v>0</v>
      </c>
      <c r="H478" s="2" t="s">
        <v>22</v>
      </c>
      <c r="I478" s="2" t="s">
        <v>13</v>
      </c>
      <c r="J478">
        <v>13</v>
      </c>
      <c r="K478">
        <f>IF(AND(Banking_Credit_Risk_Dirty[[#This Row],[Borrower_Credit_Score]]&gt;=300,Banking_Credit_Risk_Dirty[[#This Row],[Borrower_Credit_Score]]&lt;=850),Banking_Credit_Risk_Dirty[[#This Row],[Borrower_Credit_Score]],"")</f>
        <v>686</v>
      </c>
    </row>
    <row r="479" spans="1:11" x14ac:dyDescent="0.25">
      <c r="A479" s="2" t="s">
        <v>501</v>
      </c>
      <c r="B479" s="2" t="s">
        <v>15</v>
      </c>
      <c r="C479" s="1">
        <v>45550</v>
      </c>
      <c r="D479">
        <v>85312</v>
      </c>
      <c r="E479">
        <v>606</v>
      </c>
      <c r="F479">
        <v>0.31</v>
      </c>
      <c r="G479">
        <v>1</v>
      </c>
      <c r="H479" s="2" t="s">
        <v>12</v>
      </c>
      <c r="I479" s="2" t="s">
        <v>23</v>
      </c>
      <c r="J479">
        <v>23</v>
      </c>
      <c r="K479">
        <f>IF(AND(Banking_Credit_Risk_Dirty[[#This Row],[Borrower_Credit_Score]]&gt;=300,Banking_Credit_Risk_Dirty[[#This Row],[Borrower_Credit_Score]]&lt;=850),Banking_Credit_Risk_Dirty[[#This Row],[Borrower_Credit_Score]],"")</f>
        <v>606</v>
      </c>
    </row>
    <row r="480" spans="1:11" x14ac:dyDescent="0.25">
      <c r="A480" s="2" t="s">
        <v>502</v>
      </c>
      <c r="B480" s="2" t="s">
        <v>11</v>
      </c>
      <c r="C480" s="1">
        <v>45793</v>
      </c>
      <c r="D480">
        <v>46448</v>
      </c>
      <c r="E480">
        <v>700</v>
      </c>
      <c r="F480">
        <v>0.31</v>
      </c>
      <c r="G480">
        <v>1</v>
      </c>
      <c r="H480" s="2" t="s">
        <v>41</v>
      </c>
      <c r="I480" s="2" t="s">
        <v>23</v>
      </c>
      <c r="J480">
        <v>15</v>
      </c>
      <c r="K480">
        <f>IF(AND(Banking_Credit_Risk_Dirty[[#This Row],[Borrower_Credit_Score]]&gt;=300,Banking_Credit_Risk_Dirty[[#This Row],[Borrower_Credit_Score]]&lt;=850),Banking_Credit_Risk_Dirty[[#This Row],[Borrower_Credit_Score]],"")</f>
        <v>700</v>
      </c>
    </row>
    <row r="481" spans="1:11" x14ac:dyDescent="0.25">
      <c r="A481" s="2" t="s">
        <v>503</v>
      </c>
      <c r="B481" s="2" t="s">
        <v>11</v>
      </c>
      <c r="C481" s="1">
        <v>45352</v>
      </c>
      <c r="D481">
        <v>75361</v>
      </c>
      <c r="E481">
        <v>486</v>
      </c>
      <c r="F481">
        <v>0.59</v>
      </c>
      <c r="G481">
        <v>4</v>
      </c>
      <c r="H481" s="2" t="s">
        <v>12</v>
      </c>
      <c r="I481" s="2" t="s">
        <v>89</v>
      </c>
      <c r="J481">
        <v>30</v>
      </c>
      <c r="K481">
        <f>IF(AND(Banking_Credit_Risk_Dirty[[#This Row],[Borrower_Credit_Score]]&gt;=300,Banking_Credit_Risk_Dirty[[#This Row],[Borrower_Credit_Score]]&lt;=850),Banking_Credit_Risk_Dirty[[#This Row],[Borrower_Credit_Score]],"")</f>
        <v>486</v>
      </c>
    </row>
    <row r="482" spans="1:11" x14ac:dyDescent="0.25">
      <c r="A482" s="2" t="s">
        <v>504</v>
      </c>
      <c r="B482" s="2" t="s">
        <v>21</v>
      </c>
      <c r="C482" s="1">
        <v>45361</v>
      </c>
      <c r="D482">
        <v>102766</v>
      </c>
      <c r="E482">
        <v>787</v>
      </c>
      <c r="F482">
        <v>0.19</v>
      </c>
      <c r="G482">
        <v>0</v>
      </c>
      <c r="H482" s="2" t="s">
        <v>12</v>
      </c>
      <c r="I482" s="2" t="s">
        <v>13</v>
      </c>
      <c r="J482">
        <v>29</v>
      </c>
      <c r="K482">
        <f>IF(AND(Banking_Credit_Risk_Dirty[[#This Row],[Borrower_Credit_Score]]&gt;=300,Banking_Credit_Risk_Dirty[[#This Row],[Borrower_Credit_Score]]&lt;=850),Banking_Credit_Risk_Dirty[[#This Row],[Borrower_Credit_Score]],"")</f>
        <v>787</v>
      </c>
    </row>
    <row r="483" spans="1:11" x14ac:dyDescent="0.25">
      <c r="A483" s="2" t="s">
        <v>505</v>
      </c>
      <c r="B483" s="2" t="s">
        <v>15</v>
      </c>
      <c r="C483" s="1">
        <v>45342</v>
      </c>
      <c r="D483">
        <v>34591</v>
      </c>
      <c r="E483">
        <v>589</v>
      </c>
      <c r="F483">
        <v>0.45</v>
      </c>
      <c r="G483">
        <v>6</v>
      </c>
      <c r="H483" s="2" t="s">
        <v>22</v>
      </c>
      <c r="I483" s="2" t="s">
        <v>23</v>
      </c>
      <c r="J483">
        <v>30</v>
      </c>
      <c r="K483">
        <f>IF(AND(Banking_Credit_Risk_Dirty[[#This Row],[Borrower_Credit_Score]]&gt;=300,Banking_Credit_Risk_Dirty[[#This Row],[Borrower_Credit_Score]]&lt;=850),Banking_Credit_Risk_Dirty[[#This Row],[Borrower_Credit_Score]],"")</f>
        <v>589</v>
      </c>
    </row>
    <row r="484" spans="1:11" x14ac:dyDescent="0.25">
      <c r="A484" s="2" t="s">
        <v>506</v>
      </c>
      <c r="B484" s="2" t="s">
        <v>11</v>
      </c>
      <c r="C484" s="1">
        <v>45671</v>
      </c>
      <c r="D484">
        <v>20691</v>
      </c>
      <c r="E484">
        <v>657</v>
      </c>
      <c r="F484">
        <v>0.46</v>
      </c>
      <c r="G484">
        <v>0</v>
      </c>
      <c r="H484" s="2" t="s">
        <v>19</v>
      </c>
      <c r="I484" s="2" t="s">
        <v>13</v>
      </c>
      <c r="J484">
        <v>19</v>
      </c>
      <c r="K484">
        <f>IF(AND(Banking_Credit_Risk_Dirty[[#This Row],[Borrower_Credit_Score]]&gt;=300,Banking_Credit_Risk_Dirty[[#This Row],[Borrower_Credit_Score]]&lt;=850),Banking_Credit_Risk_Dirty[[#This Row],[Borrower_Credit_Score]],"")</f>
        <v>657</v>
      </c>
    </row>
    <row r="485" spans="1:11" x14ac:dyDescent="0.25">
      <c r="A485" s="2" t="s">
        <v>507</v>
      </c>
      <c r="B485" s="2" t="s">
        <v>21</v>
      </c>
      <c r="C485" s="1">
        <v>45747</v>
      </c>
      <c r="D485">
        <v>138727</v>
      </c>
      <c r="E485">
        <v>624</v>
      </c>
      <c r="F485">
        <v>0.33</v>
      </c>
      <c r="G485">
        <v>0</v>
      </c>
      <c r="H485" s="2" t="s">
        <v>16</v>
      </c>
      <c r="I485" s="2" t="s">
        <v>13</v>
      </c>
      <c r="J485">
        <v>17</v>
      </c>
      <c r="K485">
        <f>IF(AND(Banking_Credit_Risk_Dirty[[#This Row],[Borrower_Credit_Score]]&gt;=300,Banking_Credit_Risk_Dirty[[#This Row],[Borrower_Credit_Score]]&lt;=850),Banking_Credit_Risk_Dirty[[#This Row],[Borrower_Credit_Score]],"")</f>
        <v>624</v>
      </c>
    </row>
    <row r="486" spans="1:11" x14ac:dyDescent="0.25">
      <c r="A486" s="2" t="s">
        <v>508</v>
      </c>
      <c r="B486" s="2" t="s">
        <v>11</v>
      </c>
      <c r="C486" s="1">
        <v>45717</v>
      </c>
      <c r="D486">
        <v>132305</v>
      </c>
      <c r="E486">
        <v>757</v>
      </c>
      <c r="F486">
        <v>0.33</v>
      </c>
      <c r="G486">
        <v>0</v>
      </c>
      <c r="H486" s="2" t="s">
        <v>27</v>
      </c>
      <c r="I486" s="2" t="s">
        <v>13</v>
      </c>
      <c r="J486">
        <v>18</v>
      </c>
      <c r="K486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487" spans="1:11" x14ac:dyDescent="0.25">
      <c r="A487" s="2" t="s">
        <v>509</v>
      </c>
      <c r="B487" s="2" t="s">
        <v>21</v>
      </c>
      <c r="C487" s="1">
        <v>45422</v>
      </c>
      <c r="D487">
        <v>22726</v>
      </c>
      <c r="E487">
        <v>572</v>
      </c>
      <c r="F487">
        <v>0.36</v>
      </c>
      <c r="G487">
        <v>0</v>
      </c>
      <c r="H487" s="2" t="s">
        <v>12</v>
      </c>
      <c r="I487" s="2" t="s">
        <v>13</v>
      </c>
      <c r="J487">
        <v>27</v>
      </c>
      <c r="K487">
        <f>IF(AND(Banking_Credit_Risk_Dirty[[#This Row],[Borrower_Credit_Score]]&gt;=300,Banking_Credit_Risk_Dirty[[#This Row],[Borrower_Credit_Score]]&lt;=850),Banking_Credit_Risk_Dirty[[#This Row],[Borrower_Credit_Score]],"")</f>
        <v>572</v>
      </c>
    </row>
    <row r="488" spans="1:11" x14ac:dyDescent="0.25">
      <c r="A488" s="2" t="s">
        <v>510</v>
      </c>
      <c r="B488" s="2" t="s">
        <v>21</v>
      </c>
      <c r="C488" s="1">
        <v>45498</v>
      </c>
      <c r="D488">
        <v>70711</v>
      </c>
      <c r="E488">
        <v>569</v>
      </c>
      <c r="F488">
        <v>0.36</v>
      </c>
      <c r="G488">
        <v>0</v>
      </c>
      <c r="H488" s="2" t="s">
        <v>41</v>
      </c>
      <c r="I488" s="2" t="s">
        <v>13</v>
      </c>
      <c r="J488">
        <v>25</v>
      </c>
      <c r="K488">
        <f>IF(AND(Banking_Credit_Risk_Dirty[[#This Row],[Borrower_Credit_Score]]&gt;=300,Banking_Credit_Risk_Dirty[[#This Row],[Borrower_Credit_Score]]&lt;=850),Banking_Credit_Risk_Dirty[[#This Row],[Borrower_Credit_Score]],"")</f>
        <v>569</v>
      </c>
    </row>
    <row r="489" spans="1:11" x14ac:dyDescent="0.25">
      <c r="A489" s="2" t="s">
        <v>511</v>
      </c>
      <c r="B489" s="2" t="s">
        <v>15</v>
      </c>
      <c r="C489" s="1">
        <v>45775</v>
      </c>
      <c r="D489">
        <v>129189</v>
      </c>
      <c r="E489">
        <v>823</v>
      </c>
      <c r="F489">
        <v>0.28999999999999998</v>
      </c>
      <c r="G489">
        <v>0</v>
      </c>
      <c r="H489" s="2" t="s">
        <v>16</v>
      </c>
      <c r="I489" s="2" t="s">
        <v>23</v>
      </c>
      <c r="J489">
        <v>16</v>
      </c>
      <c r="K489">
        <f>IF(AND(Banking_Credit_Risk_Dirty[[#This Row],[Borrower_Credit_Score]]&gt;=300,Banking_Credit_Risk_Dirty[[#This Row],[Borrower_Credit_Score]]&lt;=850),Banking_Credit_Risk_Dirty[[#This Row],[Borrower_Credit_Score]],"")</f>
        <v>823</v>
      </c>
    </row>
    <row r="490" spans="1:11" x14ac:dyDescent="0.25">
      <c r="A490" s="2" t="s">
        <v>512</v>
      </c>
      <c r="B490" s="2" t="s">
        <v>15</v>
      </c>
      <c r="C490" s="1">
        <v>45399</v>
      </c>
      <c r="D490">
        <v>14887</v>
      </c>
      <c r="E490">
        <v>480</v>
      </c>
      <c r="F490">
        <v>0.56000000000000005</v>
      </c>
      <c r="G490">
        <v>0</v>
      </c>
      <c r="H490" s="2" t="s">
        <v>22</v>
      </c>
      <c r="I490" s="2" t="s">
        <v>13</v>
      </c>
      <c r="J490">
        <v>28</v>
      </c>
      <c r="K490">
        <f>IF(AND(Banking_Credit_Risk_Dirty[[#This Row],[Borrower_Credit_Score]]&gt;=300,Banking_Credit_Risk_Dirty[[#This Row],[Borrower_Credit_Score]]&lt;=850),Banking_Credit_Risk_Dirty[[#This Row],[Borrower_Credit_Score]],"")</f>
        <v>480</v>
      </c>
    </row>
    <row r="491" spans="1:11" x14ac:dyDescent="0.25">
      <c r="A491" s="2" t="s">
        <v>513</v>
      </c>
      <c r="B491" s="2" t="s">
        <v>15</v>
      </c>
      <c r="C491" s="1">
        <v>45411</v>
      </c>
      <c r="D491">
        <v>129440</v>
      </c>
      <c r="E491">
        <v>744</v>
      </c>
      <c r="F491">
        <v>0.46</v>
      </c>
      <c r="G491">
        <v>1</v>
      </c>
      <c r="H491" s="2" t="s">
        <v>41</v>
      </c>
      <c r="I491" s="2" t="s">
        <v>17</v>
      </c>
      <c r="J491">
        <v>28</v>
      </c>
      <c r="K491">
        <f>IF(AND(Banking_Credit_Risk_Dirty[[#This Row],[Borrower_Credit_Score]]&gt;=300,Banking_Credit_Risk_Dirty[[#This Row],[Borrower_Credit_Score]]&lt;=850),Banking_Credit_Risk_Dirty[[#This Row],[Borrower_Credit_Score]],"")</f>
        <v>744</v>
      </c>
    </row>
    <row r="492" spans="1:11" x14ac:dyDescent="0.25">
      <c r="A492" s="2" t="s">
        <v>514</v>
      </c>
      <c r="B492" s="2" t="s">
        <v>15</v>
      </c>
      <c r="C492" s="1">
        <v>45439</v>
      </c>
      <c r="D492">
        <v>40197</v>
      </c>
      <c r="E492">
        <v>721</v>
      </c>
      <c r="F492">
        <v>0.52</v>
      </c>
      <c r="G492">
        <v>1</v>
      </c>
      <c r="H492" s="2" t="s">
        <v>19</v>
      </c>
      <c r="I492" s="2" t="s">
        <v>17</v>
      </c>
      <c r="J492">
        <v>27</v>
      </c>
      <c r="K492">
        <f>IF(AND(Banking_Credit_Risk_Dirty[[#This Row],[Borrower_Credit_Score]]&gt;=300,Banking_Credit_Risk_Dirty[[#This Row],[Borrower_Credit_Score]]&lt;=850),Banking_Credit_Risk_Dirty[[#This Row],[Borrower_Credit_Score]],"")</f>
        <v>721</v>
      </c>
    </row>
    <row r="493" spans="1:11" x14ac:dyDescent="0.25">
      <c r="A493" s="2" t="s">
        <v>515</v>
      </c>
      <c r="B493" s="2" t="s">
        <v>15</v>
      </c>
      <c r="C493" s="1">
        <v>45825</v>
      </c>
      <c r="D493">
        <v>49670</v>
      </c>
      <c r="E493">
        <v>590</v>
      </c>
      <c r="F493">
        <v>0.38</v>
      </c>
      <c r="G493">
        <v>6</v>
      </c>
      <c r="H493" s="2" t="s">
        <v>19</v>
      </c>
      <c r="I493" s="2" t="s">
        <v>17</v>
      </c>
      <c r="J493">
        <v>14</v>
      </c>
      <c r="K493">
        <f>IF(AND(Banking_Credit_Risk_Dirty[[#This Row],[Borrower_Credit_Score]]&gt;=300,Banking_Credit_Risk_Dirty[[#This Row],[Borrower_Credit_Score]]&lt;=850),Banking_Credit_Risk_Dirty[[#This Row],[Borrower_Credit_Score]],"")</f>
        <v>590</v>
      </c>
    </row>
    <row r="494" spans="1:11" x14ac:dyDescent="0.25">
      <c r="A494" s="2" t="s">
        <v>516</v>
      </c>
      <c r="B494" s="2" t="s">
        <v>21</v>
      </c>
      <c r="C494" s="1">
        <v>45385</v>
      </c>
      <c r="D494">
        <v>129780</v>
      </c>
      <c r="E494">
        <v>501</v>
      </c>
      <c r="F494">
        <v>0.56999999999999995</v>
      </c>
      <c r="G494">
        <v>5</v>
      </c>
      <c r="H494" s="2" t="s">
        <v>12</v>
      </c>
      <c r="I494" s="2" t="s">
        <v>89</v>
      </c>
      <c r="J494">
        <v>29</v>
      </c>
      <c r="K494">
        <f>IF(AND(Banking_Credit_Risk_Dirty[[#This Row],[Borrower_Credit_Score]]&gt;=300,Banking_Credit_Risk_Dirty[[#This Row],[Borrower_Credit_Score]]&lt;=850),Banking_Credit_Risk_Dirty[[#This Row],[Borrower_Credit_Score]],"")</f>
        <v>501</v>
      </c>
    </row>
    <row r="495" spans="1:11" x14ac:dyDescent="0.25">
      <c r="A495" s="2" t="s">
        <v>517</v>
      </c>
      <c r="B495" s="2" t="s">
        <v>11</v>
      </c>
      <c r="C495" s="1">
        <v>45886</v>
      </c>
      <c r="D495">
        <v>109716</v>
      </c>
      <c r="E495">
        <v>538</v>
      </c>
      <c r="F495">
        <v>0.61</v>
      </c>
      <c r="G495">
        <v>3</v>
      </c>
      <c r="H495" s="2" t="s">
        <v>12</v>
      </c>
      <c r="I495" s="2" t="s">
        <v>23</v>
      </c>
      <c r="J495">
        <v>12</v>
      </c>
      <c r="K495">
        <f>IF(AND(Banking_Credit_Risk_Dirty[[#This Row],[Borrower_Credit_Score]]&gt;=300,Banking_Credit_Risk_Dirty[[#This Row],[Borrower_Credit_Score]]&lt;=850),Banking_Credit_Risk_Dirty[[#This Row],[Borrower_Credit_Score]],"")</f>
        <v>538</v>
      </c>
    </row>
    <row r="496" spans="1:11" x14ac:dyDescent="0.25">
      <c r="A496" s="2" t="s">
        <v>518</v>
      </c>
      <c r="B496" s="2" t="s">
        <v>11</v>
      </c>
      <c r="C496" s="1">
        <v>45545</v>
      </c>
      <c r="D496">
        <v>5768</v>
      </c>
      <c r="E496">
        <v>616</v>
      </c>
      <c r="F496">
        <v>0.16</v>
      </c>
      <c r="G496">
        <v>2</v>
      </c>
      <c r="H496" s="2" t="s">
        <v>22</v>
      </c>
      <c r="I496" s="2" t="s">
        <v>17</v>
      </c>
      <c r="J496">
        <v>23</v>
      </c>
      <c r="K496">
        <f>IF(AND(Banking_Credit_Risk_Dirty[[#This Row],[Borrower_Credit_Score]]&gt;=300,Banking_Credit_Risk_Dirty[[#This Row],[Borrower_Credit_Score]]&lt;=850),Banking_Credit_Risk_Dirty[[#This Row],[Borrower_Credit_Score]],"")</f>
        <v>616</v>
      </c>
    </row>
    <row r="497" spans="1:11" x14ac:dyDescent="0.25">
      <c r="A497" s="2" t="s">
        <v>519</v>
      </c>
      <c r="B497" s="2" t="s">
        <v>11</v>
      </c>
      <c r="C497" s="1">
        <v>45650</v>
      </c>
      <c r="D497">
        <v>39426</v>
      </c>
      <c r="E497">
        <v>627</v>
      </c>
      <c r="F497">
        <v>0.55000000000000004</v>
      </c>
      <c r="G497">
        <v>0</v>
      </c>
      <c r="H497" s="2" t="s">
        <v>22</v>
      </c>
      <c r="I497" s="2" t="s">
        <v>13</v>
      </c>
      <c r="J497">
        <v>20</v>
      </c>
      <c r="K497">
        <f>IF(AND(Banking_Credit_Risk_Dirty[[#This Row],[Borrower_Credit_Score]]&gt;=300,Banking_Credit_Risk_Dirty[[#This Row],[Borrower_Credit_Score]]&lt;=850),Banking_Credit_Risk_Dirty[[#This Row],[Borrower_Credit_Score]],"")</f>
        <v>627</v>
      </c>
    </row>
    <row r="498" spans="1:11" x14ac:dyDescent="0.25">
      <c r="A498" s="2" t="s">
        <v>520</v>
      </c>
      <c r="B498" s="2" t="s">
        <v>15</v>
      </c>
      <c r="C498" s="1">
        <v>45485</v>
      </c>
      <c r="D498">
        <v>87196</v>
      </c>
      <c r="E498">
        <v>-1</v>
      </c>
      <c r="F498">
        <v>0.36</v>
      </c>
      <c r="G498">
        <v>0</v>
      </c>
      <c r="H498" s="2" t="s">
        <v>27</v>
      </c>
      <c r="I498" s="2" t="s">
        <v>13</v>
      </c>
      <c r="J498">
        <v>25</v>
      </c>
      <c r="K498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499" spans="1:11" x14ac:dyDescent="0.25">
      <c r="A499" s="2" t="s">
        <v>521</v>
      </c>
      <c r="B499" s="2" t="s">
        <v>15</v>
      </c>
      <c r="C499" s="1">
        <v>45614</v>
      </c>
      <c r="D499">
        <v>66483</v>
      </c>
      <c r="E499">
        <v>671</v>
      </c>
      <c r="F499">
        <v>0.24</v>
      </c>
      <c r="G499">
        <v>1</v>
      </c>
      <c r="H499" s="2" t="s">
        <v>22</v>
      </c>
      <c r="I499" s="2" t="s">
        <v>23</v>
      </c>
      <c r="J499">
        <v>21</v>
      </c>
      <c r="K499">
        <f>IF(AND(Banking_Credit_Risk_Dirty[[#This Row],[Borrower_Credit_Score]]&gt;=300,Banking_Credit_Risk_Dirty[[#This Row],[Borrower_Credit_Score]]&lt;=850),Banking_Credit_Risk_Dirty[[#This Row],[Borrower_Credit_Score]],"")</f>
        <v>671</v>
      </c>
    </row>
    <row r="500" spans="1:11" x14ac:dyDescent="0.25">
      <c r="A500" s="2" t="s">
        <v>522</v>
      </c>
      <c r="B500" s="2" t="s">
        <v>43</v>
      </c>
      <c r="C500" s="1">
        <v>45930</v>
      </c>
      <c r="D500">
        <v>93294</v>
      </c>
      <c r="E500">
        <v>830</v>
      </c>
      <c r="F500">
        <v>0.63</v>
      </c>
      <c r="G500">
        <v>0</v>
      </c>
      <c r="H500" s="2" t="s">
        <v>16</v>
      </c>
      <c r="I500" s="2" t="s">
        <v>13</v>
      </c>
      <c r="J500">
        <v>11</v>
      </c>
      <c r="K500">
        <f>IF(AND(Banking_Credit_Risk_Dirty[[#This Row],[Borrower_Credit_Score]]&gt;=300,Banking_Credit_Risk_Dirty[[#This Row],[Borrower_Credit_Score]]&lt;=850),Banking_Credit_Risk_Dirty[[#This Row],[Borrower_Credit_Score]],"")</f>
        <v>830</v>
      </c>
    </row>
    <row r="501" spans="1:11" x14ac:dyDescent="0.25">
      <c r="A501" s="2" t="s">
        <v>523</v>
      </c>
      <c r="B501" s="2" t="s">
        <v>15</v>
      </c>
      <c r="C501" s="1">
        <v>45934</v>
      </c>
      <c r="D501">
        <v>6709</v>
      </c>
      <c r="E501">
        <v>503</v>
      </c>
      <c r="F501">
        <v>0.34</v>
      </c>
      <c r="G501">
        <v>0</v>
      </c>
      <c r="H501" s="2" t="s">
        <v>22</v>
      </c>
      <c r="I501" s="2" t="s">
        <v>13</v>
      </c>
      <c r="J501">
        <v>11</v>
      </c>
      <c r="K501">
        <f>IF(AND(Banking_Credit_Risk_Dirty[[#This Row],[Borrower_Credit_Score]]&gt;=300,Banking_Credit_Risk_Dirty[[#This Row],[Borrower_Credit_Score]]&lt;=850),Banking_Credit_Risk_Dirty[[#This Row],[Borrower_Credit_Score]],"")</f>
        <v>503</v>
      </c>
    </row>
    <row r="502" spans="1:11" x14ac:dyDescent="0.25">
      <c r="A502" s="2" t="s">
        <v>524</v>
      </c>
      <c r="B502" s="2" t="s">
        <v>15</v>
      </c>
      <c r="C502" s="1">
        <v>45621</v>
      </c>
      <c r="D502">
        <v>18429</v>
      </c>
      <c r="E502">
        <v>488</v>
      </c>
      <c r="F502">
        <v>0.54</v>
      </c>
      <c r="G502">
        <v>4</v>
      </c>
      <c r="H502" s="2" t="s">
        <v>41</v>
      </c>
      <c r="I502" s="2" t="s">
        <v>89</v>
      </c>
      <c r="J502">
        <v>21</v>
      </c>
      <c r="K502">
        <f>IF(AND(Banking_Credit_Risk_Dirty[[#This Row],[Borrower_Credit_Score]]&gt;=300,Banking_Credit_Risk_Dirty[[#This Row],[Borrower_Credit_Score]]&lt;=850),Banking_Credit_Risk_Dirty[[#This Row],[Borrower_Credit_Score]],"")</f>
        <v>488</v>
      </c>
    </row>
    <row r="503" spans="1:11" x14ac:dyDescent="0.25">
      <c r="A503" s="2" t="s">
        <v>525</v>
      </c>
      <c r="B503" s="2" t="s">
        <v>11</v>
      </c>
      <c r="C503" s="1">
        <v>45496</v>
      </c>
      <c r="D503">
        <v>57030</v>
      </c>
      <c r="E503">
        <v>629</v>
      </c>
      <c r="F503">
        <v>0.6</v>
      </c>
      <c r="G503">
        <v>5</v>
      </c>
      <c r="H503" s="2" t="s">
        <v>16</v>
      </c>
      <c r="I503" s="2" t="s">
        <v>17</v>
      </c>
      <c r="J503">
        <v>25</v>
      </c>
      <c r="K503">
        <f>IF(AND(Banking_Credit_Risk_Dirty[[#This Row],[Borrower_Credit_Score]]&gt;=300,Banking_Credit_Risk_Dirty[[#This Row],[Borrower_Credit_Score]]&lt;=850),Banking_Credit_Risk_Dirty[[#This Row],[Borrower_Credit_Score]],"")</f>
        <v>629</v>
      </c>
    </row>
    <row r="504" spans="1:11" x14ac:dyDescent="0.25">
      <c r="A504" s="2" t="s">
        <v>526</v>
      </c>
      <c r="B504" s="2" t="s">
        <v>15</v>
      </c>
      <c r="C504" s="1">
        <v>45845</v>
      </c>
      <c r="D504">
        <v>48886</v>
      </c>
      <c r="E504">
        <v>555</v>
      </c>
      <c r="F504">
        <v>0.64</v>
      </c>
      <c r="G504">
        <v>0</v>
      </c>
      <c r="H504" s="2" t="s">
        <v>16</v>
      </c>
      <c r="I504" s="2" t="s">
        <v>13</v>
      </c>
      <c r="J504">
        <v>14</v>
      </c>
      <c r="K504">
        <f>IF(AND(Banking_Credit_Risk_Dirty[[#This Row],[Borrower_Credit_Score]]&gt;=300,Banking_Credit_Risk_Dirty[[#This Row],[Borrower_Credit_Score]]&lt;=850),Banking_Credit_Risk_Dirty[[#This Row],[Borrower_Credit_Score]],"")</f>
        <v>555</v>
      </c>
    </row>
    <row r="505" spans="1:11" x14ac:dyDescent="0.25">
      <c r="A505" s="2" t="s">
        <v>527</v>
      </c>
      <c r="B505" s="2" t="s">
        <v>15</v>
      </c>
      <c r="C505" s="1">
        <v>45387</v>
      </c>
      <c r="D505">
        <v>68404</v>
      </c>
      <c r="E505">
        <v>785</v>
      </c>
      <c r="F505">
        <v>0.3</v>
      </c>
      <c r="G505">
        <v>0</v>
      </c>
      <c r="H505" s="2" t="s">
        <v>22</v>
      </c>
      <c r="I505" s="2" t="s">
        <v>13</v>
      </c>
      <c r="J505">
        <v>29</v>
      </c>
      <c r="K505">
        <f>IF(AND(Banking_Credit_Risk_Dirty[[#This Row],[Borrower_Credit_Score]]&gt;=300,Banking_Credit_Risk_Dirty[[#This Row],[Borrower_Credit_Score]]&lt;=850),Banking_Credit_Risk_Dirty[[#This Row],[Borrower_Credit_Score]],"")</f>
        <v>785</v>
      </c>
    </row>
    <row r="506" spans="1:11" x14ac:dyDescent="0.25">
      <c r="A506" s="2" t="s">
        <v>528</v>
      </c>
      <c r="B506" s="2" t="s">
        <v>43</v>
      </c>
      <c r="C506" s="1">
        <v>45348</v>
      </c>
      <c r="D506">
        <v>7600</v>
      </c>
      <c r="E506">
        <v>513</v>
      </c>
      <c r="F506">
        <v>0.45</v>
      </c>
      <c r="G506">
        <v>0</v>
      </c>
      <c r="H506" s="2" t="s">
        <v>12</v>
      </c>
      <c r="I506" s="2" t="s">
        <v>13</v>
      </c>
      <c r="J506">
        <v>30</v>
      </c>
      <c r="K506">
        <f>IF(AND(Banking_Credit_Risk_Dirty[[#This Row],[Borrower_Credit_Score]]&gt;=300,Banking_Credit_Risk_Dirty[[#This Row],[Borrower_Credit_Score]]&lt;=850),Banking_Credit_Risk_Dirty[[#This Row],[Borrower_Credit_Score]],"")</f>
        <v>513</v>
      </c>
    </row>
    <row r="507" spans="1:11" x14ac:dyDescent="0.25">
      <c r="A507" s="2" t="s">
        <v>529</v>
      </c>
      <c r="B507" s="2" t="s">
        <v>43</v>
      </c>
      <c r="C507" s="1">
        <v>45615</v>
      </c>
      <c r="D507">
        <v>105193</v>
      </c>
      <c r="E507">
        <v>519</v>
      </c>
      <c r="F507">
        <v>0.37</v>
      </c>
      <c r="G507">
        <v>0</v>
      </c>
      <c r="H507" s="2" t="s">
        <v>22</v>
      </c>
      <c r="I507" s="2" t="s">
        <v>17</v>
      </c>
      <c r="J507">
        <v>21</v>
      </c>
      <c r="K507">
        <f>IF(AND(Banking_Credit_Risk_Dirty[[#This Row],[Borrower_Credit_Score]]&gt;=300,Banking_Credit_Risk_Dirty[[#This Row],[Borrower_Credit_Score]]&lt;=850),Banking_Credit_Risk_Dirty[[#This Row],[Borrower_Credit_Score]],"")</f>
        <v>519</v>
      </c>
    </row>
    <row r="508" spans="1:11" x14ac:dyDescent="0.25">
      <c r="A508" s="2" t="s">
        <v>530</v>
      </c>
      <c r="B508" s="2" t="s">
        <v>15</v>
      </c>
      <c r="C508" s="1">
        <v>45398</v>
      </c>
      <c r="D508">
        <v>29176</v>
      </c>
      <c r="E508">
        <v>790</v>
      </c>
      <c r="F508">
        <v>0.22</v>
      </c>
      <c r="G508">
        <v>0</v>
      </c>
      <c r="H508" s="2" t="s">
        <v>19</v>
      </c>
      <c r="I508" s="2" t="s">
        <v>13</v>
      </c>
      <c r="J508">
        <v>28</v>
      </c>
      <c r="K508">
        <f>IF(AND(Banking_Credit_Risk_Dirty[[#This Row],[Borrower_Credit_Score]]&gt;=300,Banking_Credit_Risk_Dirty[[#This Row],[Borrower_Credit_Score]]&lt;=850),Banking_Credit_Risk_Dirty[[#This Row],[Borrower_Credit_Score]],"")</f>
        <v>790</v>
      </c>
    </row>
    <row r="509" spans="1:11" x14ac:dyDescent="0.25">
      <c r="A509" s="2" t="s">
        <v>531</v>
      </c>
      <c r="B509" s="2" t="s">
        <v>21</v>
      </c>
      <c r="C509" s="1">
        <v>45557</v>
      </c>
      <c r="D509">
        <v>10998</v>
      </c>
      <c r="E509">
        <v>-1</v>
      </c>
      <c r="F509">
        <v>0.65</v>
      </c>
      <c r="G509">
        <v>4</v>
      </c>
      <c r="H509" s="2" t="s">
        <v>19</v>
      </c>
      <c r="I509" s="2" t="s">
        <v>89</v>
      </c>
      <c r="J509">
        <v>23</v>
      </c>
      <c r="K50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510" spans="1:11" x14ac:dyDescent="0.25">
      <c r="A510" s="2" t="s">
        <v>532</v>
      </c>
      <c r="B510" s="2" t="s">
        <v>11</v>
      </c>
      <c r="C510" s="1">
        <v>45363</v>
      </c>
      <c r="D510">
        <v>12198</v>
      </c>
      <c r="E510">
        <v>518</v>
      </c>
      <c r="F510">
        <v>0.61</v>
      </c>
      <c r="G510">
        <v>5</v>
      </c>
      <c r="H510" s="2" t="s">
        <v>27</v>
      </c>
      <c r="I510" s="2" t="s">
        <v>23</v>
      </c>
      <c r="J510">
        <v>29</v>
      </c>
      <c r="K510">
        <f>IF(AND(Banking_Credit_Risk_Dirty[[#This Row],[Borrower_Credit_Score]]&gt;=300,Banking_Credit_Risk_Dirty[[#This Row],[Borrower_Credit_Score]]&lt;=850),Banking_Credit_Risk_Dirty[[#This Row],[Borrower_Credit_Score]],"")</f>
        <v>518</v>
      </c>
    </row>
    <row r="511" spans="1:11" x14ac:dyDescent="0.25">
      <c r="A511" s="2" t="s">
        <v>533</v>
      </c>
      <c r="B511" s="2" t="s">
        <v>21</v>
      </c>
      <c r="C511" s="1">
        <v>45302</v>
      </c>
      <c r="D511">
        <v>21087</v>
      </c>
      <c r="E511">
        <v>622</v>
      </c>
      <c r="F511">
        <v>0.59</v>
      </c>
      <c r="G511">
        <v>0</v>
      </c>
      <c r="H511" s="2" t="s">
        <v>12</v>
      </c>
      <c r="I511" s="2" t="s">
        <v>13</v>
      </c>
      <c r="J511">
        <v>31</v>
      </c>
      <c r="K511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512" spans="1:11" x14ac:dyDescent="0.25">
      <c r="A512" s="2" t="s">
        <v>534</v>
      </c>
      <c r="B512" s="2" t="s">
        <v>43</v>
      </c>
      <c r="C512" s="1">
        <v>45891</v>
      </c>
      <c r="D512">
        <v>108336</v>
      </c>
      <c r="E512">
        <v>755</v>
      </c>
      <c r="F512">
        <v>0.42</v>
      </c>
      <c r="G512">
        <v>0</v>
      </c>
      <c r="H512" s="2" t="s">
        <v>12</v>
      </c>
      <c r="I512" s="2" t="s">
        <v>13</v>
      </c>
      <c r="J512">
        <v>12</v>
      </c>
      <c r="K512">
        <f>IF(AND(Banking_Credit_Risk_Dirty[[#This Row],[Borrower_Credit_Score]]&gt;=300,Banking_Credit_Risk_Dirty[[#This Row],[Borrower_Credit_Score]]&lt;=850),Banking_Credit_Risk_Dirty[[#This Row],[Borrower_Credit_Score]],"")</f>
        <v>755</v>
      </c>
    </row>
    <row r="513" spans="1:11" x14ac:dyDescent="0.25">
      <c r="A513" s="2" t="s">
        <v>535</v>
      </c>
      <c r="B513" s="2" t="s">
        <v>21</v>
      </c>
      <c r="C513" s="1">
        <v>45317</v>
      </c>
      <c r="D513">
        <v>18507</v>
      </c>
      <c r="E513">
        <v>558</v>
      </c>
      <c r="F513">
        <v>0.22</v>
      </c>
      <c r="G513">
        <v>3</v>
      </c>
      <c r="H513" s="2" t="s">
        <v>16</v>
      </c>
      <c r="I513" s="2" t="s">
        <v>23</v>
      </c>
      <c r="J513">
        <v>31</v>
      </c>
      <c r="K513">
        <f>IF(AND(Banking_Credit_Risk_Dirty[[#This Row],[Borrower_Credit_Score]]&gt;=300,Banking_Credit_Risk_Dirty[[#This Row],[Borrower_Credit_Score]]&lt;=850),Banking_Credit_Risk_Dirty[[#This Row],[Borrower_Credit_Score]],"")</f>
        <v>558</v>
      </c>
    </row>
    <row r="514" spans="1:11" x14ac:dyDescent="0.25">
      <c r="A514" s="2" t="s">
        <v>536</v>
      </c>
      <c r="B514" s="2" t="s">
        <v>21</v>
      </c>
      <c r="C514" s="1">
        <v>45874</v>
      </c>
      <c r="D514">
        <v>107064</v>
      </c>
      <c r="E514">
        <v>504</v>
      </c>
      <c r="F514">
        <v>0.25</v>
      </c>
      <c r="G514">
        <v>0</v>
      </c>
      <c r="H514" s="2" t="s">
        <v>16</v>
      </c>
      <c r="I514" s="2" t="s">
        <v>13</v>
      </c>
      <c r="J514">
        <v>13</v>
      </c>
      <c r="K514">
        <f>IF(AND(Banking_Credit_Risk_Dirty[[#This Row],[Borrower_Credit_Score]]&gt;=300,Banking_Credit_Risk_Dirty[[#This Row],[Borrower_Credit_Score]]&lt;=850),Banking_Credit_Risk_Dirty[[#This Row],[Borrower_Credit_Score]],"")</f>
        <v>504</v>
      </c>
    </row>
    <row r="515" spans="1:11" x14ac:dyDescent="0.25">
      <c r="A515" s="2" t="s">
        <v>537</v>
      </c>
      <c r="B515" s="2" t="s">
        <v>15</v>
      </c>
      <c r="C515" s="1">
        <v>45605</v>
      </c>
      <c r="D515">
        <v>113040</v>
      </c>
      <c r="E515">
        <v>779</v>
      </c>
      <c r="F515">
        <v>0.41</v>
      </c>
      <c r="G515">
        <v>0</v>
      </c>
      <c r="H515" s="2" t="s">
        <v>22</v>
      </c>
      <c r="I515" s="2" t="s">
        <v>13</v>
      </c>
      <c r="J515">
        <v>22</v>
      </c>
      <c r="K515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516" spans="1:11" x14ac:dyDescent="0.25">
      <c r="A516" s="2" t="s">
        <v>538</v>
      </c>
      <c r="B516" s="2" t="s">
        <v>11</v>
      </c>
      <c r="C516" s="1">
        <v>45815</v>
      </c>
      <c r="D516">
        <v>97704</v>
      </c>
      <c r="E516">
        <v>774</v>
      </c>
      <c r="F516">
        <v>0.54</v>
      </c>
      <c r="G516">
        <v>0</v>
      </c>
      <c r="H516" s="2" t="s">
        <v>19</v>
      </c>
      <c r="I516" s="2" t="s">
        <v>13</v>
      </c>
      <c r="J516">
        <v>15</v>
      </c>
      <c r="K516">
        <f>IF(AND(Banking_Credit_Risk_Dirty[[#This Row],[Borrower_Credit_Score]]&gt;=300,Banking_Credit_Risk_Dirty[[#This Row],[Borrower_Credit_Score]]&lt;=850),Banking_Credit_Risk_Dirty[[#This Row],[Borrower_Credit_Score]],"")</f>
        <v>774</v>
      </c>
    </row>
    <row r="517" spans="1:11" x14ac:dyDescent="0.25">
      <c r="A517" s="2" t="s">
        <v>539</v>
      </c>
      <c r="B517" s="2" t="s">
        <v>15</v>
      </c>
      <c r="C517" s="1">
        <v>45573</v>
      </c>
      <c r="D517">
        <v>51275</v>
      </c>
      <c r="E517">
        <v>546</v>
      </c>
      <c r="F517">
        <v>0.34</v>
      </c>
      <c r="G517">
        <v>0</v>
      </c>
      <c r="H517" s="2" t="s">
        <v>19</v>
      </c>
      <c r="I517" s="2" t="s">
        <v>13</v>
      </c>
      <c r="J517">
        <v>23</v>
      </c>
      <c r="K517">
        <f>IF(AND(Banking_Credit_Risk_Dirty[[#This Row],[Borrower_Credit_Score]]&gt;=300,Banking_Credit_Risk_Dirty[[#This Row],[Borrower_Credit_Score]]&lt;=850),Banking_Credit_Risk_Dirty[[#This Row],[Borrower_Credit_Score]],"")</f>
        <v>546</v>
      </c>
    </row>
    <row r="518" spans="1:11" x14ac:dyDescent="0.25">
      <c r="A518" s="2" t="s">
        <v>540</v>
      </c>
      <c r="B518" s="2" t="s">
        <v>15</v>
      </c>
      <c r="C518" s="1">
        <v>45371</v>
      </c>
      <c r="D518">
        <v>29921</v>
      </c>
      <c r="E518">
        <v>779</v>
      </c>
      <c r="F518">
        <v>0.59</v>
      </c>
      <c r="G518">
        <v>0</v>
      </c>
      <c r="H518" s="2" t="s">
        <v>16</v>
      </c>
      <c r="I518" s="2" t="s">
        <v>13</v>
      </c>
      <c r="J518">
        <v>29</v>
      </c>
      <c r="K518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519" spans="1:11" x14ac:dyDescent="0.25">
      <c r="A519" s="2" t="s">
        <v>541</v>
      </c>
      <c r="B519" s="2" t="s">
        <v>15</v>
      </c>
      <c r="C519" s="1">
        <v>45942</v>
      </c>
      <c r="D519">
        <v>73823</v>
      </c>
      <c r="E519">
        <v>656</v>
      </c>
      <c r="F519">
        <v>0.2</v>
      </c>
      <c r="G519">
        <v>0</v>
      </c>
      <c r="H519" s="2" t="s">
        <v>22</v>
      </c>
      <c r="I519" s="2" t="s">
        <v>13</v>
      </c>
      <c r="J519">
        <v>10</v>
      </c>
      <c r="K519">
        <f>IF(AND(Banking_Credit_Risk_Dirty[[#This Row],[Borrower_Credit_Score]]&gt;=300,Banking_Credit_Risk_Dirty[[#This Row],[Borrower_Credit_Score]]&lt;=850),Banking_Credit_Risk_Dirty[[#This Row],[Borrower_Credit_Score]],"")</f>
        <v>656</v>
      </c>
    </row>
    <row r="520" spans="1:11" x14ac:dyDescent="0.25">
      <c r="A520" s="2" t="s">
        <v>542</v>
      </c>
      <c r="B520" s="2" t="s">
        <v>15</v>
      </c>
      <c r="C520" s="1">
        <v>45763</v>
      </c>
      <c r="D520">
        <v>9090</v>
      </c>
      <c r="E520">
        <v>705</v>
      </c>
      <c r="F520">
        <v>0.46</v>
      </c>
      <c r="G520">
        <v>5</v>
      </c>
      <c r="H520" s="2" t="s">
        <v>19</v>
      </c>
      <c r="I520" s="2" t="s">
        <v>17</v>
      </c>
      <c r="J520">
        <v>16</v>
      </c>
      <c r="K520">
        <f>IF(AND(Banking_Credit_Risk_Dirty[[#This Row],[Borrower_Credit_Score]]&gt;=300,Banking_Credit_Risk_Dirty[[#This Row],[Borrower_Credit_Score]]&lt;=850),Banking_Credit_Risk_Dirty[[#This Row],[Borrower_Credit_Score]],"")</f>
        <v>705</v>
      </c>
    </row>
    <row r="521" spans="1:11" x14ac:dyDescent="0.25">
      <c r="A521" s="2" t="s">
        <v>543</v>
      </c>
      <c r="B521" s="2" t="s">
        <v>21</v>
      </c>
      <c r="C521" s="1">
        <v>45915</v>
      </c>
      <c r="D521">
        <v>77328</v>
      </c>
      <c r="E521">
        <v>467</v>
      </c>
      <c r="F521">
        <v>0.62</v>
      </c>
      <c r="G521">
        <v>2</v>
      </c>
      <c r="H521" s="2" t="s">
        <v>27</v>
      </c>
      <c r="I521" s="2" t="s">
        <v>23</v>
      </c>
      <c r="J521">
        <v>11</v>
      </c>
      <c r="K521">
        <f>IF(AND(Banking_Credit_Risk_Dirty[[#This Row],[Borrower_Credit_Score]]&gt;=300,Banking_Credit_Risk_Dirty[[#This Row],[Borrower_Credit_Score]]&lt;=850),Banking_Credit_Risk_Dirty[[#This Row],[Borrower_Credit_Score]],"")</f>
        <v>467</v>
      </c>
    </row>
    <row r="522" spans="1:11" x14ac:dyDescent="0.25">
      <c r="A522" s="2" t="s">
        <v>544</v>
      </c>
      <c r="B522" s="2" t="s">
        <v>15</v>
      </c>
      <c r="C522" s="1">
        <v>45943</v>
      </c>
      <c r="D522">
        <v>99089</v>
      </c>
      <c r="E522">
        <v>672</v>
      </c>
      <c r="F522">
        <v>0.42</v>
      </c>
      <c r="G522">
        <v>0</v>
      </c>
      <c r="H522" s="2" t="s">
        <v>19</v>
      </c>
      <c r="I522" s="2" t="s">
        <v>13</v>
      </c>
      <c r="J522">
        <v>10</v>
      </c>
      <c r="K522">
        <f>IF(AND(Banking_Credit_Risk_Dirty[[#This Row],[Borrower_Credit_Score]]&gt;=300,Banking_Credit_Risk_Dirty[[#This Row],[Borrower_Credit_Score]]&lt;=850),Banking_Credit_Risk_Dirty[[#This Row],[Borrower_Credit_Score]],"")</f>
        <v>672</v>
      </c>
    </row>
    <row r="523" spans="1:11" x14ac:dyDescent="0.25">
      <c r="A523" s="2" t="s">
        <v>545</v>
      </c>
      <c r="B523" s="2" t="s">
        <v>21</v>
      </c>
      <c r="C523" s="1">
        <v>45516</v>
      </c>
      <c r="D523">
        <v>16434</v>
      </c>
      <c r="E523">
        <v>744</v>
      </c>
      <c r="F523">
        <v>0.26</v>
      </c>
      <c r="G523">
        <v>0</v>
      </c>
      <c r="H523" s="2" t="s">
        <v>19</v>
      </c>
      <c r="I523" s="2" t="s">
        <v>13</v>
      </c>
      <c r="J523">
        <v>24</v>
      </c>
      <c r="K523">
        <f>IF(AND(Banking_Credit_Risk_Dirty[[#This Row],[Borrower_Credit_Score]]&gt;=300,Banking_Credit_Risk_Dirty[[#This Row],[Borrower_Credit_Score]]&lt;=850),Banking_Credit_Risk_Dirty[[#This Row],[Borrower_Credit_Score]],"")</f>
        <v>744</v>
      </c>
    </row>
    <row r="524" spans="1:11" x14ac:dyDescent="0.25">
      <c r="A524" s="2" t="s">
        <v>546</v>
      </c>
      <c r="B524" s="2" t="s">
        <v>21</v>
      </c>
      <c r="C524" s="1">
        <v>45762</v>
      </c>
      <c r="D524">
        <v>27461</v>
      </c>
      <c r="E524">
        <v>626</v>
      </c>
      <c r="F524">
        <v>0.35</v>
      </c>
      <c r="G524">
        <v>6</v>
      </c>
      <c r="H524" s="2" t="s">
        <v>12</v>
      </c>
      <c r="I524" s="2" t="s">
        <v>23</v>
      </c>
      <c r="J524">
        <v>16</v>
      </c>
      <c r="K524">
        <f>IF(AND(Banking_Credit_Risk_Dirty[[#This Row],[Borrower_Credit_Score]]&gt;=300,Banking_Credit_Risk_Dirty[[#This Row],[Borrower_Credit_Score]]&lt;=850),Banking_Credit_Risk_Dirty[[#This Row],[Borrower_Credit_Score]],"")</f>
        <v>626</v>
      </c>
    </row>
    <row r="525" spans="1:11" x14ac:dyDescent="0.25">
      <c r="A525" s="2" t="s">
        <v>547</v>
      </c>
      <c r="B525" s="2" t="s">
        <v>43</v>
      </c>
      <c r="C525" s="1">
        <v>45371</v>
      </c>
      <c r="D525">
        <v>85610</v>
      </c>
      <c r="E525">
        <v>592</v>
      </c>
      <c r="F525">
        <v>0.52</v>
      </c>
      <c r="G525">
        <v>3</v>
      </c>
      <c r="H525" s="2" t="s">
        <v>27</v>
      </c>
      <c r="I525" s="2" t="s">
        <v>23</v>
      </c>
      <c r="J525">
        <v>29</v>
      </c>
      <c r="K525">
        <f>IF(AND(Banking_Credit_Risk_Dirty[[#This Row],[Borrower_Credit_Score]]&gt;=300,Banking_Credit_Risk_Dirty[[#This Row],[Borrower_Credit_Score]]&lt;=850),Banking_Credit_Risk_Dirty[[#This Row],[Borrower_Credit_Score]],"")</f>
        <v>592</v>
      </c>
    </row>
    <row r="526" spans="1:11" x14ac:dyDescent="0.25">
      <c r="A526" s="2" t="s">
        <v>548</v>
      </c>
      <c r="B526" s="2" t="s">
        <v>21</v>
      </c>
      <c r="C526" s="1">
        <v>45915</v>
      </c>
      <c r="D526">
        <v>120647</v>
      </c>
      <c r="E526">
        <v>782</v>
      </c>
      <c r="F526">
        <v>0.39</v>
      </c>
      <c r="G526">
        <v>0</v>
      </c>
      <c r="H526" s="2" t="s">
        <v>41</v>
      </c>
      <c r="I526" s="2" t="s">
        <v>13</v>
      </c>
      <c r="J526">
        <v>11</v>
      </c>
      <c r="K526">
        <f>IF(AND(Banking_Credit_Risk_Dirty[[#This Row],[Borrower_Credit_Score]]&gt;=300,Banking_Credit_Risk_Dirty[[#This Row],[Borrower_Credit_Score]]&lt;=850),Banking_Credit_Risk_Dirty[[#This Row],[Borrower_Credit_Score]],"")</f>
        <v>782</v>
      </c>
    </row>
    <row r="527" spans="1:11" x14ac:dyDescent="0.25">
      <c r="A527" s="2" t="s">
        <v>549</v>
      </c>
      <c r="B527" s="2" t="s">
        <v>11</v>
      </c>
      <c r="C527" s="1">
        <v>45853</v>
      </c>
      <c r="D527">
        <v>63850</v>
      </c>
      <c r="E527">
        <v>709</v>
      </c>
      <c r="F527">
        <v>0.56000000000000005</v>
      </c>
      <c r="G527">
        <v>0</v>
      </c>
      <c r="H527" s="2" t="s">
        <v>41</v>
      </c>
      <c r="I527" s="2" t="s">
        <v>13</v>
      </c>
      <c r="J527">
        <v>13</v>
      </c>
      <c r="K527">
        <f>IF(AND(Banking_Credit_Risk_Dirty[[#This Row],[Borrower_Credit_Score]]&gt;=300,Banking_Credit_Risk_Dirty[[#This Row],[Borrower_Credit_Score]]&lt;=850),Banking_Credit_Risk_Dirty[[#This Row],[Borrower_Credit_Score]],"")</f>
        <v>709</v>
      </c>
    </row>
    <row r="528" spans="1:11" x14ac:dyDescent="0.25">
      <c r="A528" s="2" t="s">
        <v>550</v>
      </c>
      <c r="B528" s="2" t="s">
        <v>11</v>
      </c>
      <c r="C528" s="1">
        <v>45734</v>
      </c>
      <c r="D528">
        <v>92281</v>
      </c>
      <c r="E528">
        <v>669</v>
      </c>
      <c r="F528">
        <v>0.52</v>
      </c>
      <c r="G528">
        <v>0</v>
      </c>
      <c r="H528" s="2" t="s">
        <v>12</v>
      </c>
      <c r="I528" s="2" t="s">
        <v>13</v>
      </c>
      <c r="J528">
        <v>17</v>
      </c>
      <c r="K528">
        <f>IF(AND(Banking_Credit_Risk_Dirty[[#This Row],[Borrower_Credit_Score]]&gt;=300,Banking_Credit_Risk_Dirty[[#This Row],[Borrower_Credit_Score]]&lt;=850),Banking_Credit_Risk_Dirty[[#This Row],[Borrower_Credit_Score]],"")</f>
        <v>669</v>
      </c>
    </row>
    <row r="529" spans="1:11" x14ac:dyDescent="0.25">
      <c r="A529" s="2" t="s">
        <v>551</v>
      </c>
      <c r="B529" s="2" t="s">
        <v>21</v>
      </c>
      <c r="C529" s="1">
        <v>45358</v>
      </c>
      <c r="D529">
        <v>25982</v>
      </c>
      <c r="E529">
        <v>600</v>
      </c>
      <c r="F529">
        <v>0.44</v>
      </c>
      <c r="G529">
        <v>0</v>
      </c>
      <c r="H529" s="2" t="s">
        <v>41</v>
      </c>
      <c r="I529" s="2" t="s">
        <v>13</v>
      </c>
      <c r="J529">
        <v>30</v>
      </c>
      <c r="K529">
        <f>IF(AND(Banking_Credit_Risk_Dirty[[#This Row],[Borrower_Credit_Score]]&gt;=300,Banking_Credit_Risk_Dirty[[#This Row],[Borrower_Credit_Score]]&lt;=850),Banking_Credit_Risk_Dirty[[#This Row],[Borrower_Credit_Score]],"")</f>
        <v>600</v>
      </c>
    </row>
    <row r="530" spans="1:11" x14ac:dyDescent="0.25">
      <c r="A530" s="2" t="s">
        <v>552</v>
      </c>
      <c r="B530" s="2" t="s">
        <v>43</v>
      </c>
      <c r="C530" s="1">
        <v>45732</v>
      </c>
      <c r="D530">
        <v>102847</v>
      </c>
      <c r="E530">
        <v>576</v>
      </c>
      <c r="F530">
        <v>0.44</v>
      </c>
      <c r="G530">
        <v>0</v>
      </c>
      <c r="H530" s="2" t="s">
        <v>12</v>
      </c>
      <c r="I530" s="2" t="s">
        <v>13</v>
      </c>
      <c r="J530">
        <v>17</v>
      </c>
      <c r="K530">
        <f>IF(AND(Banking_Credit_Risk_Dirty[[#This Row],[Borrower_Credit_Score]]&gt;=300,Banking_Credit_Risk_Dirty[[#This Row],[Borrower_Credit_Score]]&lt;=850),Banking_Credit_Risk_Dirty[[#This Row],[Borrower_Credit_Score]],"")</f>
        <v>576</v>
      </c>
    </row>
    <row r="531" spans="1:11" x14ac:dyDescent="0.25">
      <c r="A531" s="2" t="s">
        <v>553</v>
      </c>
      <c r="B531" s="2" t="s">
        <v>43</v>
      </c>
      <c r="C531" s="1">
        <v>45898</v>
      </c>
      <c r="D531">
        <v>99114</v>
      </c>
      <c r="E531">
        <v>782</v>
      </c>
      <c r="F531">
        <v>0.3</v>
      </c>
      <c r="G531">
        <v>3</v>
      </c>
      <c r="H531" s="2" t="s">
        <v>19</v>
      </c>
      <c r="I531" s="2" t="s">
        <v>17</v>
      </c>
      <c r="J531">
        <v>12</v>
      </c>
      <c r="K531">
        <f>IF(AND(Banking_Credit_Risk_Dirty[[#This Row],[Borrower_Credit_Score]]&gt;=300,Banking_Credit_Risk_Dirty[[#This Row],[Borrower_Credit_Score]]&lt;=850),Banking_Credit_Risk_Dirty[[#This Row],[Borrower_Credit_Score]],"")</f>
        <v>782</v>
      </c>
    </row>
    <row r="532" spans="1:11" x14ac:dyDescent="0.25">
      <c r="A532" s="2" t="s">
        <v>554</v>
      </c>
      <c r="B532" s="2" t="s">
        <v>21</v>
      </c>
      <c r="C532" s="1">
        <v>45730</v>
      </c>
      <c r="D532">
        <v>5118</v>
      </c>
      <c r="E532">
        <v>837</v>
      </c>
      <c r="F532">
        <v>0.22</v>
      </c>
      <c r="G532">
        <v>1</v>
      </c>
      <c r="H532" s="2" t="s">
        <v>12</v>
      </c>
      <c r="I532" s="2" t="s">
        <v>23</v>
      </c>
      <c r="J532">
        <v>17</v>
      </c>
      <c r="K532">
        <f>IF(AND(Banking_Credit_Risk_Dirty[[#This Row],[Borrower_Credit_Score]]&gt;=300,Banking_Credit_Risk_Dirty[[#This Row],[Borrower_Credit_Score]]&lt;=850),Banking_Credit_Risk_Dirty[[#This Row],[Borrower_Credit_Score]],"")</f>
        <v>837</v>
      </c>
    </row>
    <row r="533" spans="1:11" x14ac:dyDescent="0.25">
      <c r="A533" s="2" t="s">
        <v>555</v>
      </c>
      <c r="B533" s="2" t="s">
        <v>21</v>
      </c>
      <c r="C533" s="1">
        <v>45298</v>
      </c>
      <c r="D533">
        <v>121366</v>
      </c>
      <c r="E533">
        <v>596</v>
      </c>
      <c r="F533">
        <v>0.64</v>
      </c>
      <c r="G533">
        <v>0</v>
      </c>
      <c r="H533" s="2" t="s">
        <v>19</v>
      </c>
      <c r="I533" s="2" t="s">
        <v>13</v>
      </c>
      <c r="J533">
        <v>32</v>
      </c>
      <c r="K533">
        <f>IF(AND(Banking_Credit_Risk_Dirty[[#This Row],[Borrower_Credit_Score]]&gt;=300,Banking_Credit_Risk_Dirty[[#This Row],[Borrower_Credit_Score]]&lt;=850),Banking_Credit_Risk_Dirty[[#This Row],[Borrower_Credit_Score]],"")</f>
        <v>596</v>
      </c>
    </row>
    <row r="534" spans="1:11" x14ac:dyDescent="0.25">
      <c r="A534" s="2" t="s">
        <v>556</v>
      </c>
      <c r="B534" s="2" t="s">
        <v>21</v>
      </c>
      <c r="C534" s="1">
        <v>45465</v>
      </c>
      <c r="D534">
        <v>16760</v>
      </c>
      <c r="E534">
        <v>-1</v>
      </c>
      <c r="F534">
        <v>0.17</v>
      </c>
      <c r="G534">
        <v>4</v>
      </c>
      <c r="H534" s="2" t="s">
        <v>22</v>
      </c>
      <c r="I534" s="2" t="s">
        <v>17</v>
      </c>
      <c r="J534">
        <v>26</v>
      </c>
      <c r="K534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535" spans="1:11" x14ac:dyDescent="0.25">
      <c r="A535" s="2" t="s">
        <v>557</v>
      </c>
      <c r="B535" s="2" t="s">
        <v>21</v>
      </c>
      <c r="C535" s="1">
        <v>45695</v>
      </c>
      <c r="D535">
        <v>114254</v>
      </c>
      <c r="E535">
        <v>735</v>
      </c>
      <c r="F535">
        <v>0.22</v>
      </c>
      <c r="G535">
        <v>0</v>
      </c>
      <c r="H535" s="2" t="s">
        <v>27</v>
      </c>
      <c r="I535" s="2" t="s">
        <v>13</v>
      </c>
      <c r="J535">
        <v>19</v>
      </c>
      <c r="K535">
        <f>IF(AND(Banking_Credit_Risk_Dirty[[#This Row],[Borrower_Credit_Score]]&gt;=300,Banking_Credit_Risk_Dirty[[#This Row],[Borrower_Credit_Score]]&lt;=850),Banking_Credit_Risk_Dirty[[#This Row],[Borrower_Credit_Score]],"")</f>
        <v>735</v>
      </c>
    </row>
    <row r="536" spans="1:11" x14ac:dyDescent="0.25">
      <c r="A536" s="2" t="s">
        <v>558</v>
      </c>
      <c r="B536" s="2" t="s">
        <v>15</v>
      </c>
      <c r="C536" s="1">
        <v>45972</v>
      </c>
      <c r="D536">
        <v>15382</v>
      </c>
      <c r="E536">
        <v>480</v>
      </c>
      <c r="F536">
        <v>0.18</v>
      </c>
      <c r="G536">
        <v>0</v>
      </c>
      <c r="H536" s="2" t="s">
        <v>27</v>
      </c>
      <c r="I536" s="2" t="s">
        <v>23</v>
      </c>
      <c r="J536">
        <v>9</v>
      </c>
      <c r="K536">
        <f>IF(AND(Banking_Credit_Risk_Dirty[[#This Row],[Borrower_Credit_Score]]&gt;=300,Banking_Credit_Risk_Dirty[[#This Row],[Borrower_Credit_Score]]&lt;=850),Banking_Credit_Risk_Dirty[[#This Row],[Borrower_Credit_Score]],"")</f>
        <v>480</v>
      </c>
    </row>
    <row r="537" spans="1:11" x14ac:dyDescent="0.25">
      <c r="A537" s="2" t="s">
        <v>559</v>
      </c>
      <c r="B537" s="2" t="s">
        <v>21</v>
      </c>
      <c r="C537" s="1">
        <v>45500</v>
      </c>
      <c r="D537">
        <v>108743</v>
      </c>
      <c r="E537">
        <v>728</v>
      </c>
      <c r="F537">
        <v>0.56000000000000005</v>
      </c>
      <c r="G537">
        <v>6</v>
      </c>
      <c r="H537" s="2" t="s">
        <v>41</v>
      </c>
      <c r="I537" s="2" t="s">
        <v>23</v>
      </c>
      <c r="J537">
        <v>25</v>
      </c>
      <c r="K537">
        <f>IF(AND(Banking_Credit_Risk_Dirty[[#This Row],[Borrower_Credit_Score]]&gt;=300,Banking_Credit_Risk_Dirty[[#This Row],[Borrower_Credit_Score]]&lt;=850),Banking_Credit_Risk_Dirty[[#This Row],[Borrower_Credit_Score]],"")</f>
        <v>728</v>
      </c>
    </row>
    <row r="538" spans="1:11" x14ac:dyDescent="0.25">
      <c r="A538" s="2" t="s">
        <v>560</v>
      </c>
      <c r="B538" s="2" t="s">
        <v>43</v>
      </c>
      <c r="C538" s="1">
        <v>45859</v>
      </c>
      <c r="D538">
        <v>35932</v>
      </c>
      <c r="E538">
        <v>822</v>
      </c>
      <c r="F538">
        <v>0.53</v>
      </c>
      <c r="G538">
        <v>6</v>
      </c>
      <c r="H538" s="2" t="s">
        <v>27</v>
      </c>
      <c r="I538" s="2" t="s">
        <v>23</v>
      </c>
      <c r="J538">
        <v>13</v>
      </c>
      <c r="K538">
        <f>IF(AND(Banking_Credit_Risk_Dirty[[#This Row],[Borrower_Credit_Score]]&gt;=300,Banking_Credit_Risk_Dirty[[#This Row],[Borrower_Credit_Score]]&lt;=850),Banking_Credit_Risk_Dirty[[#This Row],[Borrower_Credit_Score]],"")</f>
        <v>822</v>
      </c>
    </row>
    <row r="539" spans="1:11" x14ac:dyDescent="0.25">
      <c r="A539" s="2" t="s">
        <v>561</v>
      </c>
      <c r="B539" s="2" t="s">
        <v>21</v>
      </c>
      <c r="C539" s="1">
        <v>45885</v>
      </c>
      <c r="D539">
        <v>63493</v>
      </c>
      <c r="E539">
        <v>476</v>
      </c>
      <c r="F539">
        <v>0.39</v>
      </c>
      <c r="G539">
        <v>0</v>
      </c>
      <c r="H539" s="2" t="s">
        <v>27</v>
      </c>
      <c r="I539" s="2" t="s">
        <v>13</v>
      </c>
      <c r="J539">
        <v>12</v>
      </c>
      <c r="K539">
        <f>IF(AND(Banking_Credit_Risk_Dirty[[#This Row],[Borrower_Credit_Score]]&gt;=300,Banking_Credit_Risk_Dirty[[#This Row],[Borrower_Credit_Score]]&lt;=850),Banking_Credit_Risk_Dirty[[#This Row],[Borrower_Credit_Score]],"")</f>
        <v>476</v>
      </c>
    </row>
    <row r="540" spans="1:11" x14ac:dyDescent="0.25">
      <c r="A540" s="2" t="s">
        <v>562</v>
      </c>
      <c r="B540" s="2" t="s">
        <v>15</v>
      </c>
      <c r="C540" s="1">
        <v>45556</v>
      </c>
      <c r="D540">
        <v>68549</v>
      </c>
      <c r="E540">
        <v>624</v>
      </c>
      <c r="F540">
        <v>0.54</v>
      </c>
      <c r="G540">
        <v>0</v>
      </c>
      <c r="H540" s="2" t="s">
        <v>19</v>
      </c>
      <c r="I540" s="2" t="s">
        <v>13</v>
      </c>
      <c r="J540">
        <v>23</v>
      </c>
      <c r="K540">
        <f>IF(AND(Banking_Credit_Risk_Dirty[[#This Row],[Borrower_Credit_Score]]&gt;=300,Banking_Credit_Risk_Dirty[[#This Row],[Borrower_Credit_Score]]&lt;=850),Banking_Credit_Risk_Dirty[[#This Row],[Borrower_Credit_Score]],"")</f>
        <v>624</v>
      </c>
    </row>
    <row r="541" spans="1:11" x14ac:dyDescent="0.25">
      <c r="A541" s="2" t="s">
        <v>563</v>
      </c>
      <c r="B541" s="2" t="s">
        <v>15</v>
      </c>
      <c r="C541" s="1">
        <v>45495</v>
      </c>
      <c r="D541">
        <v>46625</v>
      </c>
      <c r="E541">
        <v>715</v>
      </c>
      <c r="F541">
        <v>0.48</v>
      </c>
      <c r="G541">
        <v>0</v>
      </c>
      <c r="H541" s="2" t="s">
        <v>22</v>
      </c>
      <c r="I541" s="2" t="s">
        <v>13</v>
      </c>
      <c r="J541">
        <v>25</v>
      </c>
      <c r="K541">
        <f>IF(AND(Banking_Credit_Risk_Dirty[[#This Row],[Borrower_Credit_Score]]&gt;=300,Banking_Credit_Risk_Dirty[[#This Row],[Borrower_Credit_Score]]&lt;=850),Banking_Credit_Risk_Dirty[[#This Row],[Borrower_Credit_Score]],"")</f>
        <v>715</v>
      </c>
    </row>
    <row r="542" spans="1:11" x14ac:dyDescent="0.25">
      <c r="A542" s="2" t="s">
        <v>564</v>
      </c>
      <c r="B542" s="2" t="s">
        <v>11</v>
      </c>
      <c r="C542" s="1">
        <v>45517</v>
      </c>
      <c r="D542">
        <v>89777</v>
      </c>
      <c r="E542">
        <v>754</v>
      </c>
      <c r="F542">
        <v>0.21</v>
      </c>
      <c r="G542">
        <v>0</v>
      </c>
      <c r="H542" s="2" t="s">
        <v>12</v>
      </c>
      <c r="I542" s="2" t="s">
        <v>13</v>
      </c>
      <c r="J542">
        <v>24</v>
      </c>
      <c r="K542">
        <f>IF(AND(Banking_Credit_Risk_Dirty[[#This Row],[Borrower_Credit_Score]]&gt;=300,Banking_Credit_Risk_Dirty[[#This Row],[Borrower_Credit_Score]]&lt;=850),Banking_Credit_Risk_Dirty[[#This Row],[Borrower_Credit_Score]],"")</f>
        <v>754</v>
      </c>
    </row>
    <row r="543" spans="1:11" x14ac:dyDescent="0.25">
      <c r="A543" s="2" t="s">
        <v>565</v>
      </c>
      <c r="B543" s="2" t="s">
        <v>15</v>
      </c>
      <c r="C543" s="1">
        <v>45950</v>
      </c>
      <c r="D543">
        <v>32075</v>
      </c>
      <c r="E543">
        <v>641</v>
      </c>
      <c r="F543">
        <v>0.41</v>
      </c>
      <c r="G543">
        <v>0</v>
      </c>
      <c r="H543" s="2" t="s">
        <v>19</v>
      </c>
      <c r="I543" s="2" t="s">
        <v>13</v>
      </c>
      <c r="J543">
        <v>10</v>
      </c>
      <c r="K543">
        <f>IF(AND(Banking_Credit_Risk_Dirty[[#This Row],[Borrower_Credit_Score]]&gt;=300,Banking_Credit_Risk_Dirty[[#This Row],[Borrower_Credit_Score]]&lt;=850),Banking_Credit_Risk_Dirty[[#This Row],[Borrower_Credit_Score]],"")</f>
        <v>641</v>
      </c>
    </row>
    <row r="544" spans="1:11" x14ac:dyDescent="0.25">
      <c r="A544" s="2" t="s">
        <v>566</v>
      </c>
      <c r="B544" s="2" t="s">
        <v>11</v>
      </c>
      <c r="C544" s="1">
        <v>45731</v>
      </c>
      <c r="D544">
        <v>145118</v>
      </c>
      <c r="E544">
        <v>735</v>
      </c>
      <c r="F544">
        <v>0.41</v>
      </c>
      <c r="G544">
        <v>0</v>
      </c>
      <c r="H544" s="2" t="s">
        <v>27</v>
      </c>
      <c r="I544" s="2" t="s">
        <v>13</v>
      </c>
      <c r="J544">
        <v>17</v>
      </c>
      <c r="K544">
        <f>IF(AND(Banking_Credit_Risk_Dirty[[#This Row],[Borrower_Credit_Score]]&gt;=300,Banking_Credit_Risk_Dirty[[#This Row],[Borrower_Credit_Score]]&lt;=850),Banking_Credit_Risk_Dirty[[#This Row],[Borrower_Credit_Score]],"")</f>
        <v>735</v>
      </c>
    </row>
    <row r="545" spans="1:11" x14ac:dyDescent="0.25">
      <c r="A545" s="2" t="s">
        <v>567</v>
      </c>
      <c r="B545" s="2" t="s">
        <v>11</v>
      </c>
      <c r="C545" s="1">
        <v>45437</v>
      </c>
      <c r="D545">
        <v>5135</v>
      </c>
      <c r="E545">
        <v>831</v>
      </c>
      <c r="F545">
        <v>0.45</v>
      </c>
      <c r="G545">
        <v>6</v>
      </c>
      <c r="H545" s="2" t="s">
        <v>16</v>
      </c>
      <c r="I545" s="2" t="s">
        <v>23</v>
      </c>
      <c r="J545">
        <v>27</v>
      </c>
      <c r="K545">
        <f>IF(AND(Banking_Credit_Risk_Dirty[[#This Row],[Borrower_Credit_Score]]&gt;=300,Banking_Credit_Risk_Dirty[[#This Row],[Borrower_Credit_Score]]&lt;=850),Banking_Credit_Risk_Dirty[[#This Row],[Borrower_Credit_Score]],"")</f>
        <v>831</v>
      </c>
    </row>
    <row r="546" spans="1:11" x14ac:dyDescent="0.25">
      <c r="A546" s="2" t="s">
        <v>568</v>
      </c>
      <c r="B546" s="2" t="s">
        <v>11</v>
      </c>
      <c r="C546" s="1">
        <v>45708</v>
      </c>
      <c r="D546">
        <v>69300</v>
      </c>
      <c r="E546">
        <v>723</v>
      </c>
      <c r="F546">
        <v>0.3</v>
      </c>
      <c r="G546">
        <v>0</v>
      </c>
      <c r="H546" s="2" t="s">
        <v>19</v>
      </c>
      <c r="I546" s="2" t="s">
        <v>13</v>
      </c>
      <c r="J546">
        <v>18</v>
      </c>
      <c r="K546">
        <f>IF(AND(Banking_Credit_Risk_Dirty[[#This Row],[Borrower_Credit_Score]]&gt;=300,Banking_Credit_Risk_Dirty[[#This Row],[Borrower_Credit_Score]]&lt;=850),Banking_Credit_Risk_Dirty[[#This Row],[Borrower_Credit_Score]],"")</f>
        <v>723</v>
      </c>
    </row>
    <row r="547" spans="1:11" x14ac:dyDescent="0.25">
      <c r="A547" s="2" t="s">
        <v>569</v>
      </c>
      <c r="B547" s="2" t="s">
        <v>11</v>
      </c>
      <c r="C547" s="1">
        <v>45639</v>
      </c>
      <c r="D547">
        <v>76633</v>
      </c>
      <c r="E547">
        <v>502</v>
      </c>
      <c r="F547">
        <v>0.27</v>
      </c>
      <c r="G547">
        <v>2</v>
      </c>
      <c r="H547" s="2" t="s">
        <v>16</v>
      </c>
      <c r="I547" s="2" t="s">
        <v>17</v>
      </c>
      <c r="J547">
        <v>20</v>
      </c>
      <c r="K547">
        <f>IF(AND(Banking_Credit_Risk_Dirty[[#This Row],[Borrower_Credit_Score]]&gt;=300,Banking_Credit_Risk_Dirty[[#This Row],[Borrower_Credit_Score]]&lt;=850),Banking_Credit_Risk_Dirty[[#This Row],[Borrower_Credit_Score]],"")</f>
        <v>502</v>
      </c>
    </row>
    <row r="548" spans="1:11" x14ac:dyDescent="0.25">
      <c r="A548" s="2" t="s">
        <v>570</v>
      </c>
      <c r="B548" s="2" t="s">
        <v>43</v>
      </c>
      <c r="C548" s="1">
        <v>45576</v>
      </c>
      <c r="D548">
        <v>75582</v>
      </c>
      <c r="E548">
        <v>647</v>
      </c>
      <c r="F548">
        <v>0.21</v>
      </c>
      <c r="G548">
        <v>0</v>
      </c>
      <c r="H548" s="2" t="s">
        <v>12</v>
      </c>
      <c r="I548" s="2" t="s">
        <v>13</v>
      </c>
      <c r="J548">
        <v>22</v>
      </c>
      <c r="K548">
        <f>IF(AND(Banking_Credit_Risk_Dirty[[#This Row],[Borrower_Credit_Score]]&gt;=300,Banking_Credit_Risk_Dirty[[#This Row],[Borrower_Credit_Score]]&lt;=850),Banking_Credit_Risk_Dirty[[#This Row],[Borrower_Credit_Score]],"")</f>
        <v>647</v>
      </c>
    </row>
    <row r="549" spans="1:11" x14ac:dyDescent="0.25">
      <c r="A549" s="2" t="s">
        <v>571</v>
      </c>
      <c r="B549" s="2" t="s">
        <v>21</v>
      </c>
      <c r="C549" s="1">
        <v>45975</v>
      </c>
      <c r="D549">
        <v>142120</v>
      </c>
      <c r="E549">
        <v>632</v>
      </c>
      <c r="F549">
        <v>0.41</v>
      </c>
      <c r="G549">
        <v>0</v>
      </c>
      <c r="H549" s="2" t="s">
        <v>12</v>
      </c>
      <c r="I549" s="2" t="s">
        <v>17</v>
      </c>
      <c r="J549">
        <v>9</v>
      </c>
      <c r="K549">
        <f>IF(AND(Banking_Credit_Risk_Dirty[[#This Row],[Borrower_Credit_Score]]&gt;=300,Banking_Credit_Risk_Dirty[[#This Row],[Borrower_Credit_Score]]&lt;=850),Banking_Credit_Risk_Dirty[[#This Row],[Borrower_Credit_Score]],"")</f>
        <v>632</v>
      </c>
    </row>
    <row r="550" spans="1:11" x14ac:dyDescent="0.25">
      <c r="A550" s="2" t="s">
        <v>572</v>
      </c>
      <c r="B550" s="2" t="s">
        <v>11</v>
      </c>
      <c r="C550" s="1">
        <v>45720</v>
      </c>
      <c r="D550">
        <v>56365</v>
      </c>
      <c r="E550">
        <v>506</v>
      </c>
      <c r="F550">
        <v>0.45</v>
      </c>
      <c r="G550">
        <v>0</v>
      </c>
      <c r="H550" s="2" t="s">
        <v>19</v>
      </c>
      <c r="I550" s="2" t="s">
        <v>13</v>
      </c>
      <c r="J550">
        <v>18</v>
      </c>
      <c r="K550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551" spans="1:11" x14ac:dyDescent="0.25">
      <c r="A551" s="2" t="s">
        <v>573</v>
      </c>
      <c r="B551" s="2" t="s">
        <v>11</v>
      </c>
      <c r="C551" s="1">
        <v>45811</v>
      </c>
      <c r="D551">
        <v>17663</v>
      </c>
      <c r="E551">
        <v>576</v>
      </c>
      <c r="F551">
        <v>0.26</v>
      </c>
      <c r="G551">
        <v>0</v>
      </c>
      <c r="H551" s="2" t="s">
        <v>19</v>
      </c>
      <c r="I551" s="2" t="s">
        <v>13</v>
      </c>
      <c r="J551">
        <v>15</v>
      </c>
      <c r="K551">
        <f>IF(AND(Banking_Credit_Risk_Dirty[[#This Row],[Borrower_Credit_Score]]&gt;=300,Banking_Credit_Risk_Dirty[[#This Row],[Borrower_Credit_Score]]&lt;=850),Banking_Credit_Risk_Dirty[[#This Row],[Borrower_Credit_Score]],"")</f>
        <v>576</v>
      </c>
    </row>
    <row r="552" spans="1:11" x14ac:dyDescent="0.25">
      <c r="A552" s="2" t="s">
        <v>574</v>
      </c>
      <c r="B552" s="2" t="s">
        <v>15</v>
      </c>
      <c r="C552" s="1">
        <v>45417</v>
      </c>
      <c r="D552">
        <v>132457</v>
      </c>
      <c r="E552">
        <v>457</v>
      </c>
      <c r="F552">
        <v>0.2</v>
      </c>
      <c r="G552">
        <v>0</v>
      </c>
      <c r="H552" s="2" t="s">
        <v>27</v>
      </c>
      <c r="I552" s="2" t="s">
        <v>13</v>
      </c>
      <c r="J552">
        <v>28</v>
      </c>
      <c r="K552">
        <f>IF(AND(Banking_Credit_Risk_Dirty[[#This Row],[Borrower_Credit_Score]]&gt;=300,Banking_Credit_Risk_Dirty[[#This Row],[Borrower_Credit_Score]]&lt;=850),Banking_Credit_Risk_Dirty[[#This Row],[Borrower_Credit_Score]],"")</f>
        <v>457</v>
      </c>
    </row>
    <row r="553" spans="1:11" x14ac:dyDescent="0.25">
      <c r="A553" s="2" t="s">
        <v>575</v>
      </c>
      <c r="B553" s="2" t="s">
        <v>21</v>
      </c>
      <c r="C553" s="1">
        <v>45942</v>
      </c>
      <c r="D553">
        <v>97759</v>
      </c>
      <c r="E553">
        <v>723</v>
      </c>
      <c r="F553">
        <v>0.31</v>
      </c>
      <c r="G553">
        <v>0</v>
      </c>
      <c r="H553" s="2" t="s">
        <v>12</v>
      </c>
      <c r="I553" s="2" t="s">
        <v>23</v>
      </c>
      <c r="J553">
        <v>10</v>
      </c>
      <c r="K553">
        <f>IF(AND(Banking_Credit_Risk_Dirty[[#This Row],[Borrower_Credit_Score]]&gt;=300,Banking_Credit_Risk_Dirty[[#This Row],[Borrower_Credit_Score]]&lt;=850),Banking_Credit_Risk_Dirty[[#This Row],[Borrower_Credit_Score]],"")</f>
        <v>723</v>
      </c>
    </row>
    <row r="554" spans="1:11" x14ac:dyDescent="0.25">
      <c r="A554" s="2" t="s">
        <v>576</v>
      </c>
      <c r="B554" s="2" t="s">
        <v>21</v>
      </c>
      <c r="C554" s="1">
        <v>45850</v>
      </c>
      <c r="D554">
        <v>15630</v>
      </c>
      <c r="E554">
        <v>593</v>
      </c>
      <c r="F554">
        <v>0.59</v>
      </c>
      <c r="G554">
        <v>1</v>
      </c>
      <c r="H554" s="2" t="s">
        <v>12</v>
      </c>
      <c r="I554" s="2" t="s">
        <v>23</v>
      </c>
      <c r="J554">
        <v>13</v>
      </c>
      <c r="K554">
        <f>IF(AND(Banking_Credit_Risk_Dirty[[#This Row],[Borrower_Credit_Score]]&gt;=300,Banking_Credit_Risk_Dirty[[#This Row],[Borrower_Credit_Score]]&lt;=850),Banking_Credit_Risk_Dirty[[#This Row],[Borrower_Credit_Score]],"")</f>
        <v>593</v>
      </c>
    </row>
    <row r="555" spans="1:11" x14ac:dyDescent="0.25">
      <c r="A555" s="2" t="s">
        <v>577</v>
      </c>
      <c r="B555" s="2" t="s">
        <v>21</v>
      </c>
      <c r="C555" s="1">
        <v>45316</v>
      </c>
      <c r="D555">
        <v>110932</v>
      </c>
      <c r="E555">
        <v>839</v>
      </c>
      <c r="F555">
        <v>0.16</v>
      </c>
      <c r="G555">
        <v>0</v>
      </c>
      <c r="H555" s="2" t="s">
        <v>27</v>
      </c>
      <c r="I555" s="2" t="s">
        <v>13</v>
      </c>
      <c r="J555">
        <v>31</v>
      </c>
      <c r="K555">
        <f>IF(AND(Banking_Credit_Risk_Dirty[[#This Row],[Borrower_Credit_Score]]&gt;=300,Banking_Credit_Risk_Dirty[[#This Row],[Borrower_Credit_Score]]&lt;=850),Banking_Credit_Risk_Dirty[[#This Row],[Borrower_Credit_Score]],"")</f>
        <v>839</v>
      </c>
    </row>
    <row r="556" spans="1:11" x14ac:dyDescent="0.25">
      <c r="A556" s="2" t="s">
        <v>578</v>
      </c>
      <c r="B556" s="2" t="s">
        <v>21</v>
      </c>
      <c r="C556" s="1">
        <v>45896</v>
      </c>
      <c r="D556">
        <v>13450</v>
      </c>
      <c r="E556">
        <v>622</v>
      </c>
      <c r="F556">
        <v>0.56999999999999995</v>
      </c>
      <c r="G556">
        <v>0</v>
      </c>
      <c r="H556" s="2" t="s">
        <v>19</v>
      </c>
      <c r="I556" s="2" t="s">
        <v>13</v>
      </c>
      <c r="J556">
        <v>12</v>
      </c>
      <c r="K556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557" spans="1:11" x14ac:dyDescent="0.25">
      <c r="A557" s="2" t="s">
        <v>579</v>
      </c>
      <c r="B557" s="2" t="s">
        <v>21</v>
      </c>
      <c r="C557" s="1">
        <v>45661</v>
      </c>
      <c r="D557">
        <v>26109</v>
      </c>
      <c r="E557">
        <v>694</v>
      </c>
      <c r="F557">
        <v>0.37</v>
      </c>
      <c r="G557">
        <v>0</v>
      </c>
      <c r="H557" s="2" t="s">
        <v>27</v>
      </c>
      <c r="I557" s="2" t="s">
        <v>13</v>
      </c>
      <c r="J557">
        <v>20</v>
      </c>
      <c r="K557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558" spans="1:11" x14ac:dyDescent="0.25">
      <c r="A558" s="2" t="s">
        <v>580</v>
      </c>
      <c r="B558" s="2" t="s">
        <v>43</v>
      </c>
      <c r="C558" s="1">
        <v>45541</v>
      </c>
      <c r="D558">
        <v>123249</v>
      </c>
      <c r="E558">
        <v>519</v>
      </c>
      <c r="F558">
        <v>0.33</v>
      </c>
      <c r="G558">
        <v>0</v>
      </c>
      <c r="H558" s="2" t="s">
        <v>41</v>
      </c>
      <c r="I558" s="2" t="s">
        <v>13</v>
      </c>
      <c r="J558">
        <v>24</v>
      </c>
      <c r="K558">
        <f>IF(AND(Banking_Credit_Risk_Dirty[[#This Row],[Borrower_Credit_Score]]&gt;=300,Banking_Credit_Risk_Dirty[[#This Row],[Borrower_Credit_Score]]&lt;=850),Banking_Credit_Risk_Dirty[[#This Row],[Borrower_Credit_Score]],"")</f>
        <v>519</v>
      </c>
    </row>
    <row r="559" spans="1:11" x14ac:dyDescent="0.25">
      <c r="A559" s="2" t="s">
        <v>581</v>
      </c>
      <c r="B559" s="2" t="s">
        <v>21</v>
      </c>
      <c r="C559" s="1">
        <v>45631</v>
      </c>
      <c r="D559">
        <v>31043</v>
      </c>
      <c r="E559">
        <v>-1</v>
      </c>
      <c r="F559">
        <v>0.19</v>
      </c>
      <c r="G559">
        <v>4</v>
      </c>
      <c r="H559" s="2" t="s">
        <v>12</v>
      </c>
      <c r="I559" s="2" t="s">
        <v>23</v>
      </c>
      <c r="J559">
        <v>21</v>
      </c>
      <c r="K55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560" spans="1:11" x14ac:dyDescent="0.25">
      <c r="A560" s="2" t="s">
        <v>582</v>
      </c>
      <c r="B560" s="2" t="s">
        <v>43</v>
      </c>
      <c r="C560" s="1">
        <v>45883</v>
      </c>
      <c r="D560">
        <v>13223</v>
      </c>
      <c r="E560">
        <v>609</v>
      </c>
      <c r="F560">
        <v>0.51</v>
      </c>
      <c r="G560">
        <v>0</v>
      </c>
      <c r="H560" s="2" t="s">
        <v>16</v>
      </c>
      <c r="I560" s="2" t="s">
        <v>13</v>
      </c>
      <c r="J560">
        <v>12</v>
      </c>
      <c r="K560">
        <f>IF(AND(Banking_Credit_Risk_Dirty[[#This Row],[Borrower_Credit_Score]]&gt;=300,Banking_Credit_Risk_Dirty[[#This Row],[Borrower_Credit_Score]]&lt;=850),Banking_Credit_Risk_Dirty[[#This Row],[Borrower_Credit_Score]],"")</f>
        <v>609</v>
      </c>
    </row>
    <row r="561" spans="1:11" x14ac:dyDescent="0.25">
      <c r="A561" s="2" t="s">
        <v>583</v>
      </c>
      <c r="B561" s="2" t="s">
        <v>43</v>
      </c>
      <c r="C561" s="1">
        <v>45533</v>
      </c>
      <c r="D561">
        <v>31126</v>
      </c>
      <c r="E561">
        <v>569</v>
      </c>
      <c r="F561">
        <v>0.17</v>
      </c>
      <c r="G561">
        <v>0</v>
      </c>
      <c r="H561" s="2" t="s">
        <v>19</v>
      </c>
      <c r="I561" s="2" t="s">
        <v>13</v>
      </c>
      <c r="J561">
        <v>24</v>
      </c>
      <c r="K561">
        <f>IF(AND(Banking_Credit_Risk_Dirty[[#This Row],[Borrower_Credit_Score]]&gt;=300,Banking_Credit_Risk_Dirty[[#This Row],[Borrower_Credit_Score]]&lt;=850),Banking_Credit_Risk_Dirty[[#This Row],[Borrower_Credit_Score]],"")</f>
        <v>569</v>
      </c>
    </row>
    <row r="562" spans="1:11" x14ac:dyDescent="0.25">
      <c r="A562" s="2" t="s">
        <v>584</v>
      </c>
      <c r="B562" s="2" t="s">
        <v>11</v>
      </c>
      <c r="C562" s="1">
        <v>45839</v>
      </c>
      <c r="D562">
        <v>85314</v>
      </c>
      <c r="E562">
        <v>567</v>
      </c>
      <c r="F562">
        <v>0.28000000000000003</v>
      </c>
      <c r="G562">
        <v>3</v>
      </c>
      <c r="H562" s="2" t="s">
        <v>16</v>
      </c>
      <c r="I562" s="2" t="s">
        <v>17</v>
      </c>
      <c r="J562">
        <v>14</v>
      </c>
      <c r="K562">
        <f>IF(AND(Banking_Credit_Risk_Dirty[[#This Row],[Borrower_Credit_Score]]&gt;=300,Banking_Credit_Risk_Dirty[[#This Row],[Borrower_Credit_Score]]&lt;=850),Banking_Credit_Risk_Dirty[[#This Row],[Borrower_Credit_Score]],"")</f>
        <v>567</v>
      </c>
    </row>
    <row r="563" spans="1:11" x14ac:dyDescent="0.25">
      <c r="A563" s="2" t="s">
        <v>585</v>
      </c>
      <c r="B563" s="2" t="s">
        <v>15</v>
      </c>
      <c r="C563" s="1">
        <v>45731</v>
      </c>
      <c r="D563">
        <v>88115</v>
      </c>
      <c r="E563">
        <v>711</v>
      </c>
      <c r="F563">
        <v>0.28999999999999998</v>
      </c>
      <c r="G563">
        <v>6</v>
      </c>
      <c r="H563" s="2" t="s">
        <v>22</v>
      </c>
      <c r="I563" s="2" t="s">
        <v>23</v>
      </c>
      <c r="J563">
        <v>17</v>
      </c>
      <c r="K563">
        <f>IF(AND(Banking_Credit_Risk_Dirty[[#This Row],[Borrower_Credit_Score]]&gt;=300,Banking_Credit_Risk_Dirty[[#This Row],[Borrower_Credit_Score]]&lt;=850),Banking_Credit_Risk_Dirty[[#This Row],[Borrower_Credit_Score]],"")</f>
        <v>711</v>
      </c>
    </row>
    <row r="564" spans="1:11" x14ac:dyDescent="0.25">
      <c r="A564" s="2" t="s">
        <v>586</v>
      </c>
      <c r="B564" s="2" t="s">
        <v>43</v>
      </c>
      <c r="C564" s="1">
        <v>45898</v>
      </c>
      <c r="D564">
        <v>72718</v>
      </c>
      <c r="E564">
        <v>714</v>
      </c>
      <c r="F564">
        <v>0.62</v>
      </c>
      <c r="G564">
        <v>5</v>
      </c>
      <c r="H564" s="2" t="s">
        <v>16</v>
      </c>
      <c r="I564" s="2" t="s">
        <v>23</v>
      </c>
      <c r="J564">
        <v>12</v>
      </c>
      <c r="K564">
        <f>IF(AND(Banking_Credit_Risk_Dirty[[#This Row],[Borrower_Credit_Score]]&gt;=300,Banking_Credit_Risk_Dirty[[#This Row],[Borrower_Credit_Score]]&lt;=850),Banking_Credit_Risk_Dirty[[#This Row],[Borrower_Credit_Score]],"")</f>
        <v>714</v>
      </c>
    </row>
    <row r="565" spans="1:11" x14ac:dyDescent="0.25">
      <c r="A565" s="2" t="s">
        <v>587</v>
      </c>
      <c r="B565" s="2" t="s">
        <v>15</v>
      </c>
      <c r="C565" s="1">
        <v>45478</v>
      </c>
      <c r="D565">
        <v>18026</v>
      </c>
      <c r="E565">
        <v>823</v>
      </c>
      <c r="F565">
        <v>0.31</v>
      </c>
      <c r="G565">
        <v>0</v>
      </c>
      <c r="H565" s="2" t="s">
        <v>12</v>
      </c>
      <c r="I565" s="2" t="s">
        <v>13</v>
      </c>
      <c r="J565">
        <v>26</v>
      </c>
      <c r="K565">
        <f>IF(AND(Banking_Credit_Risk_Dirty[[#This Row],[Borrower_Credit_Score]]&gt;=300,Banking_Credit_Risk_Dirty[[#This Row],[Borrower_Credit_Score]]&lt;=850),Banking_Credit_Risk_Dirty[[#This Row],[Borrower_Credit_Score]],"")</f>
        <v>823</v>
      </c>
    </row>
    <row r="566" spans="1:11" x14ac:dyDescent="0.25">
      <c r="A566" s="2" t="s">
        <v>588</v>
      </c>
      <c r="B566" s="2" t="s">
        <v>21</v>
      </c>
      <c r="C566" s="1">
        <v>45357</v>
      </c>
      <c r="D566">
        <v>64734</v>
      </c>
      <c r="E566">
        <v>563</v>
      </c>
      <c r="F566">
        <v>0.5</v>
      </c>
      <c r="G566">
        <v>0</v>
      </c>
      <c r="H566" s="2" t="s">
        <v>16</v>
      </c>
      <c r="I566" s="2" t="s">
        <v>13</v>
      </c>
      <c r="J566">
        <v>30</v>
      </c>
      <c r="K566">
        <f>IF(AND(Banking_Credit_Risk_Dirty[[#This Row],[Borrower_Credit_Score]]&gt;=300,Banking_Credit_Risk_Dirty[[#This Row],[Borrower_Credit_Score]]&lt;=850),Banking_Credit_Risk_Dirty[[#This Row],[Borrower_Credit_Score]],"")</f>
        <v>563</v>
      </c>
    </row>
    <row r="567" spans="1:11" x14ac:dyDescent="0.25">
      <c r="A567" s="2" t="s">
        <v>589</v>
      </c>
      <c r="B567" s="2" t="s">
        <v>15</v>
      </c>
      <c r="C567" s="1">
        <v>45431</v>
      </c>
      <c r="D567">
        <v>17969</v>
      </c>
      <c r="E567">
        <v>793</v>
      </c>
      <c r="F567">
        <v>0.63</v>
      </c>
      <c r="G567">
        <v>0</v>
      </c>
      <c r="H567" s="2" t="s">
        <v>22</v>
      </c>
      <c r="I567" s="2" t="s">
        <v>13</v>
      </c>
      <c r="J567">
        <v>27</v>
      </c>
      <c r="K567">
        <f>IF(AND(Banking_Credit_Risk_Dirty[[#This Row],[Borrower_Credit_Score]]&gt;=300,Banking_Credit_Risk_Dirty[[#This Row],[Borrower_Credit_Score]]&lt;=850),Banking_Credit_Risk_Dirty[[#This Row],[Borrower_Credit_Score]],"")</f>
        <v>793</v>
      </c>
    </row>
    <row r="568" spans="1:11" x14ac:dyDescent="0.25">
      <c r="A568" s="2" t="s">
        <v>590</v>
      </c>
      <c r="B568" s="2" t="s">
        <v>21</v>
      </c>
      <c r="C568" s="1">
        <v>45401</v>
      </c>
      <c r="D568">
        <v>44289</v>
      </c>
      <c r="E568">
        <v>709</v>
      </c>
      <c r="F568">
        <v>0.31</v>
      </c>
      <c r="G568">
        <v>3</v>
      </c>
      <c r="H568" s="2" t="s">
        <v>12</v>
      </c>
      <c r="I568" s="2" t="s">
        <v>23</v>
      </c>
      <c r="J568">
        <v>28</v>
      </c>
      <c r="K568">
        <f>IF(AND(Banking_Credit_Risk_Dirty[[#This Row],[Borrower_Credit_Score]]&gt;=300,Banking_Credit_Risk_Dirty[[#This Row],[Borrower_Credit_Score]]&lt;=850),Banking_Credit_Risk_Dirty[[#This Row],[Borrower_Credit_Score]],"")</f>
        <v>709</v>
      </c>
    </row>
    <row r="569" spans="1:11" x14ac:dyDescent="0.25">
      <c r="A569" s="2" t="s">
        <v>591</v>
      </c>
      <c r="B569" s="2" t="s">
        <v>15</v>
      </c>
      <c r="C569" s="1">
        <v>45758</v>
      </c>
      <c r="D569">
        <v>29741</v>
      </c>
      <c r="E569">
        <v>701</v>
      </c>
      <c r="F569">
        <v>0.31</v>
      </c>
      <c r="G569">
        <v>2</v>
      </c>
      <c r="H569" s="2" t="s">
        <v>27</v>
      </c>
      <c r="I569" s="2" t="s">
        <v>17</v>
      </c>
      <c r="J569">
        <v>16</v>
      </c>
      <c r="K569">
        <f>IF(AND(Banking_Credit_Risk_Dirty[[#This Row],[Borrower_Credit_Score]]&gt;=300,Banking_Credit_Risk_Dirty[[#This Row],[Borrower_Credit_Score]]&lt;=850),Banking_Credit_Risk_Dirty[[#This Row],[Borrower_Credit_Score]],"")</f>
        <v>701</v>
      </c>
    </row>
    <row r="570" spans="1:11" x14ac:dyDescent="0.25">
      <c r="A570" s="2" t="s">
        <v>592</v>
      </c>
      <c r="B570" s="2" t="s">
        <v>15</v>
      </c>
      <c r="C570" s="1">
        <v>45774</v>
      </c>
      <c r="D570">
        <v>81547</v>
      </c>
      <c r="E570">
        <v>542</v>
      </c>
      <c r="F570">
        <v>0.42</v>
      </c>
      <c r="G570">
        <v>0</v>
      </c>
      <c r="H570" s="2" t="s">
        <v>22</v>
      </c>
      <c r="I570" s="2" t="s">
        <v>13</v>
      </c>
      <c r="J570">
        <v>16</v>
      </c>
      <c r="K570">
        <f>IF(AND(Banking_Credit_Risk_Dirty[[#This Row],[Borrower_Credit_Score]]&gt;=300,Banking_Credit_Risk_Dirty[[#This Row],[Borrower_Credit_Score]]&lt;=850),Banking_Credit_Risk_Dirty[[#This Row],[Borrower_Credit_Score]],"")</f>
        <v>542</v>
      </c>
    </row>
    <row r="571" spans="1:11" x14ac:dyDescent="0.25">
      <c r="A571" s="2" t="s">
        <v>593</v>
      </c>
      <c r="B571" s="2" t="s">
        <v>43</v>
      </c>
      <c r="C571" s="1">
        <v>45853</v>
      </c>
      <c r="D571">
        <v>58099</v>
      </c>
      <c r="E571">
        <v>527</v>
      </c>
      <c r="F571">
        <v>0.17</v>
      </c>
      <c r="G571">
        <v>0</v>
      </c>
      <c r="H571" s="2" t="s">
        <v>16</v>
      </c>
      <c r="I571" s="2" t="s">
        <v>13</v>
      </c>
      <c r="J571">
        <v>13</v>
      </c>
      <c r="K571">
        <f>IF(AND(Banking_Credit_Risk_Dirty[[#This Row],[Borrower_Credit_Score]]&gt;=300,Banking_Credit_Risk_Dirty[[#This Row],[Borrower_Credit_Score]]&lt;=850),Banking_Credit_Risk_Dirty[[#This Row],[Borrower_Credit_Score]],"")</f>
        <v>527</v>
      </c>
    </row>
    <row r="572" spans="1:11" x14ac:dyDescent="0.25">
      <c r="A572" s="2" t="s">
        <v>594</v>
      </c>
      <c r="B572" s="2" t="s">
        <v>21</v>
      </c>
      <c r="C572" s="1">
        <v>45982</v>
      </c>
      <c r="D572">
        <v>65501</v>
      </c>
      <c r="E572">
        <v>455</v>
      </c>
      <c r="F572">
        <v>0.32</v>
      </c>
      <c r="G572">
        <v>0</v>
      </c>
      <c r="H572" s="2" t="s">
        <v>12</v>
      </c>
      <c r="I572" s="2" t="s">
        <v>13</v>
      </c>
      <c r="J572">
        <v>9</v>
      </c>
      <c r="K572">
        <f>IF(AND(Banking_Credit_Risk_Dirty[[#This Row],[Borrower_Credit_Score]]&gt;=300,Banking_Credit_Risk_Dirty[[#This Row],[Borrower_Credit_Score]]&lt;=850),Banking_Credit_Risk_Dirty[[#This Row],[Borrower_Credit_Score]],"")</f>
        <v>455</v>
      </c>
    </row>
    <row r="573" spans="1:11" x14ac:dyDescent="0.25">
      <c r="A573" s="2" t="s">
        <v>595</v>
      </c>
      <c r="B573" s="2" t="s">
        <v>21</v>
      </c>
      <c r="C573" s="1">
        <v>45313</v>
      </c>
      <c r="D573">
        <v>137122</v>
      </c>
      <c r="E573">
        <v>605</v>
      </c>
      <c r="F573">
        <v>0.4</v>
      </c>
      <c r="G573">
        <v>0</v>
      </c>
      <c r="H573" s="2" t="s">
        <v>12</v>
      </c>
      <c r="I573" s="2" t="s">
        <v>13</v>
      </c>
      <c r="J573">
        <v>31</v>
      </c>
      <c r="K573">
        <f>IF(AND(Banking_Credit_Risk_Dirty[[#This Row],[Borrower_Credit_Score]]&gt;=300,Banking_Credit_Risk_Dirty[[#This Row],[Borrower_Credit_Score]]&lt;=850),Banking_Credit_Risk_Dirty[[#This Row],[Borrower_Credit_Score]],"")</f>
        <v>605</v>
      </c>
    </row>
    <row r="574" spans="1:11" x14ac:dyDescent="0.25">
      <c r="A574" s="2" t="s">
        <v>596</v>
      </c>
      <c r="B574" s="2" t="s">
        <v>21</v>
      </c>
      <c r="C574" s="1">
        <v>45453</v>
      </c>
      <c r="D574">
        <v>99210</v>
      </c>
      <c r="E574">
        <v>490</v>
      </c>
      <c r="F574">
        <v>0.24</v>
      </c>
      <c r="G574">
        <v>0</v>
      </c>
      <c r="H574" s="2" t="s">
        <v>27</v>
      </c>
      <c r="I574" s="2" t="s">
        <v>17</v>
      </c>
      <c r="J574">
        <v>26</v>
      </c>
      <c r="K574">
        <f>IF(AND(Banking_Credit_Risk_Dirty[[#This Row],[Borrower_Credit_Score]]&gt;=300,Banking_Credit_Risk_Dirty[[#This Row],[Borrower_Credit_Score]]&lt;=850),Banking_Credit_Risk_Dirty[[#This Row],[Borrower_Credit_Score]],"")</f>
        <v>490</v>
      </c>
    </row>
    <row r="575" spans="1:11" x14ac:dyDescent="0.25">
      <c r="A575" s="2" t="s">
        <v>597</v>
      </c>
      <c r="B575" s="2" t="s">
        <v>11</v>
      </c>
      <c r="C575" s="1">
        <v>45837</v>
      </c>
      <c r="D575">
        <v>44362</v>
      </c>
      <c r="E575">
        <v>788</v>
      </c>
      <c r="F575">
        <v>0.28000000000000003</v>
      </c>
      <c r="G575">
        <v>4</v>
      </c>
      <c r="H575" s="2" t="s">
        <v>19</v>
      </c>
      <c r="I575" s="2" t="s">
        <v>23</v>
      </c>
      <c r="J575">
        <v>14</v>
      </c>
      <c r="K575">
        <f>IF(AND(Banking_Credit_Risk_Dirty[[#This Row],[Borrower_Credit_Score]]&gt;=300,Banking_Credit_Risk_Dirty[[#This Row],[Borrower_Credit_Score]]&lt;=850),Banking_Credit_Risk_Dirty[[#This Row],[Borrower_Credit_Score]],"")</f>
        <v>788</v>
      </c>
    </row>
    <row r="576" spans="1:11" x14ac:dyDescent="0.25">
      <c r="A576" s="2" t="s">
        <v>598</v>
      </c>
      <c r="B576" s="2" t="s">
        <v>21</v>
      </c>
      <c r="C576" s="1">
        <v>45354</v>
      </c>
      <c r="D576">
        <v>129189</v>
      </c>
      <c r="E576">
        <v>585</v>
      </c>
      <c r="F576">
        <v>0.54</v>
      </c>
      <c r="G576">
        <v>0</v>
      </c>
      <c r="H576" s="2" t="s">
        <v>27</v>
      </c>
      <c r="I576" s="2" t="s">
        <v>13</v>
      </c>
      <c r="J576">
        <v>30</v>
      </c>
      <c r="K576">
        <f>IF(AND(Banking_Credit_Risk_Dirty[[#This Row],[Borrower_Credit_Score]]&gt;=300,Banking_Credit_Risk_Dirty[[#This Row],[Borrower_Credit_Score]]&lt;=850),Banking_Credit_Risk_Dirty[[#This Row],[Borrower_Credit_Score]],"")</f>
        <v>585</v>
      </c>
    </row>
    <row r="577" spans="1:11" x14ac:dyDescent="0.25">
      <c r="A577" s="2" t="s">
        <v>599</v>
      </c>
      <c r="B577" s="2" t="s">
        <v>43</v>
      </c>
      <c r="C577" s="1">
        <v>45387</v>
      </c>
      <c r="D577">
        <v>110496</v>
      </c>
      <c r="E577">
        <v>533</v>
      </c>
      <c r="F577">
        <v>0.35</v>
      </c>
      <c r="G577">
        <v>4</v>
      </c>
      <c r="H577" s="2" t="s">
        <v>19</v>
      </c>
      <c r="I577" s="2" t="s">
        <v>17</v>
      </c>
      <c r="J577">
        <v>29</v>
      </c>
      <c r="K577">
        <f>IF(AND(Banking_Credit_Risk_Dirty[[#This Row],[Borrower_Credit_Score]]&gt;=300,Banking_Credit_Risk_Dirty[[#This Row],[Borrower_Credit_Score]]&lt;=850),Banking_Credit_Risk_Dirty[[#This Row],[Borrower_Credit_Score]],"")</f>
        <v>533</v>
      </c>
    </row>
    <row r="578" spans="1:11" x14ac:dyDescent="0.25">
      <c r="A578" s="2" t="s">
        <v>600</v>
      </c>
      <c r="B578" s="2" t="s">
        <v>43</v>
      </c>
      <c r="C578" s="1">
        <v>45416</v>
      </c>
      <c r="D578">
        <v>120517</v>
      </c>
      <c r="E578">
        <v>644</v>
      </c>
      <c r="F578">
        <v>0.48</v>
      </c>
      <c r="G578">
        <v>0</v>
      </c>
      <c r="H578" s="2" t="s">
        <v>16</v>
      </c>
      <c r="I578" s="2" t="s">
        <v>13</v>
      </c>
      <c r="J578">
        <v>28</v>
      </c>
      <c r="K578">
        <f>IF(AND(Banking_Credit_Risk_Dirty[[#This Row],[Borrower_Credit_Score]]&gt;=300,Banking_Credit_Risk_Dirty[[#This Row],[Borrower_Credit_Score]]&lt;=850),Banking_Credit_Risk_Dirty[[#This Row],[Borrower_Credit_Score]],"")</f>
        <v>644</v>
      </c>
    </row>
    <row r="579" spans="1:11" x14ac:dyDescent="0.25">
      <c r="A579" s="2" t="s">
        <v>601</v>
      </c>
      <c r="B579" s="2" t="s">
        <v>15</v>
      </c>
      <c r="C579" s="1">
        <v>45887</v>
      </c>
      <c r="D579">
        <v>92011</v>
      </c>
      <c r="E579">
        <v>609</v>
      </c>
      <c r="F579">
        <v>0.63</v>
      </c>
      <c r="G579">
        <v>0</v>
      </c>
      <c r="H579" s="2" t="s">
        <v>19</v>
      </c>
      <c r="I579" s="2" t="s">
        <v>13</v>
      </c>
      <c r="J579">
        <v>12</v>
      </c>
      <c r="K579">
        <f>IF(AND(Banking_Credit_Risk_Dirty[[#This Row],[Borrower_Credit_Score]]&gt;=300,Banking_Credit_Risk_Dirty[[#This Row],[Borrower_Credit_Score]]&lt;=850),Banking_Credit_Risk_Dirty[[#This Row],[Borrower_Credit_Score]],"")</f>
        <v>609</v>
      </c>
    </row>
    <row r="580" spans="1:11" x14ac:dyDescent="0.25">
      <c r="A580" s="2" t="s">
        <v>602</v>
      </c>
      <c r="B580" s="2" t="s">
        <v>21</v>
      </c>
      <c r="C580" s="1">
        <v>45823</v>
      </c>
      <c r="D580">
        <v>142508</v>
      </c>
      <c r="E580">
        <v>608</v>
      </c>
      <c r="F580">
        <v>0.17</v>
      </c>
      <c r="G580">
        <v>0</v>
      </c>
      <c r="H580" s="2" t="s">
        <v>19</v>
      </c>
      <c r="I580" s="2" t="s">
        <v>13</v>
      </c>
      <c r="J580">
        <v>14</v>
      </c>
      <c r="K580">
        <f>IF(AND(Banking_Credit_Risk_Dirty[[#This Row],[Borrower_Credit_Score]]&gt;=300,Banking_Credit_Risk_Dirty[[#This Row],[Borrower_Credit_Score]]&lt;=850),Banking_Credit_Risk_Dirty[[#This Row],[Borrower_Credit_Score]],"")</f>
        <v>608</v>
      </c>
    </row>
    <row r="581" spans="1:11" x14ac:dyDescent="0.25">
      <c r="A581" s="2" t="s">
        <v>603</v>
      </c>
      <c r="B581" s="2" t="s">
        <v>11</v>
      </c>
      <c r="C581" s="1">
        <v>45889</v>
      </c>
      <c r="D581">
        <v>7616</v>
      </c>
      <c r="E581">
        <v>693</v>
      </c>
      <c r="F581">
        <v>0.64</v>
      </c>
      <c r="G581">
        <v>3</v>
      </c>
      <c r="H581" s="2" t="s">
        <v>22</v>
      </c>
      <c r="I581" s="2" t="s">
        <v>17</v>
      </c>
      <c r="J581">
        <v>12</v>
      </c>
      <c r="K581">
        <f>IF(AND(Banking_Credit_Risk_Dirty[[#This Row],[Borrower_Credit_Score]]&gt;=300,Banking_Credit_Risk_Dirty[[#This Row],[Borrower_Credit_Score]]&lt;=850),Banking_Credit_Risk_Dirty[[#This Row],[Borrower_Credit_Score]],"")</f>
        <v>693</v>
      </c>
    </row>
    <row r="582" spans="1:11" x14ac:dyDescent="0.25">
      <c r="A582" s="2" t="s">
        <v>604</v>
      </c>
      <c r="B582" s="2" t="s">
        <v>21</v>
      </c>
      <c r="C582" s="1">
        <v>45571</v>
      </c>
      <c r="D582">
        <v>63082</v>
      </c>
      <c r="E582">
        <v>545</v>
      </c>
      <c r="F582">
        <v>0.2</v>
      </c>
      <c r="G582">
        <v>0</v>
      </c>
      <c r="H582" s="2" t="s">
        <v>22</v>
      </c>
      <c r="I582" s="2" t="s">
        <v>13</v>
      </c>
      <c r="J582">
        <v>23</v>
      </c>
      <c r="K582">
        <f>IF(AND(Banking_Credit_Risk_Dirty[[#This Row],[Borrower_Credit_Score]]&gt;=300,Banking_Credit_Risk_Dirty[[#This Row],[Borrower_Credit_Score]]&lt;=850),Banking_Credit_Risk_Dirty[[#This Row],[Borrower_Credit_Score]],"")</f>
        <v>545</v>
      </c>
    </row>
    <row r="583" spans="1:11" x14ac:dyDescent="0.25">
      <c r="A583" s="2" t="s">
        <v>605</v>
      </c>
      <c r="B583" s="2" t="s">
        <v>11</v>
      </c>
      <c r="C583" s="1">
        <v>45436</v>
      </c>
      <c r="D583">
        <v>124143</v>
      </c>
      <c r="E583">
        <v>465</v>
      </c>
      <c r="F583">
        <v>0.39</v>
      </c>
      <c r="G583">
        <v>3</v>
      </c>
      <c r="H583" s="2" t="s">
        <v>12</v>
      </c>
      <c r="I583" s="2" t="s">
        <v>17</v>
      </c>
      <c r="J583">
        <v>27</v>
      </c>
      <c r="K583">
        <f>IF(AND(Banking_Credit_Risk_Dirty[[#This Row],[Borrower_Credit_Score]]&gt;=300,Banking_Credit_Risk_Dirty[[#This Row],[Borrower_Credit_Score]]&lt;=850),Banking_Credit_Risk_Dirty[[#This Row],[Borrower_Credit_Score]],"")</f>
        <v>465</v>
      </c>
    </row>
    <row r="584" spans="1:11" x14ac:dyDescent="0.25">
      <c r="A584" s="2" t="s">
        <v>606</v>
      </c>
      <c r="B584" s="2" t="s">
        <v>43</v>
      </c>
      <c r="C584" s="1">
        <v>45791</v>
      </c>
      <c r="D584">
        <v>86700</v>
      </c>
      <c r="E584">
        <v>766</v>
      </c>
      <c r="F584">
        <v>0.44</v>
      </c>
      <c r="G584">
        <v>0</v>
      </c>
      <c r="H584" s="2" t="s">
        <v>27</v>
      </c>
      <c r="I584" s="2" t="s">
        <v>13</v>
      </c>
      <c r="J584">
        <v>15</v>
      </c>
      <c r="K584">
        <f>IF(AND(Banking_Credit_Risk_Dirty[[#This Row],[Borrower_Credit_Score]]&gt;=300,Banking_Credit_Risk_Dirty[[#This Row],[Borrower_Credit_Score]]&lt;=850),Banking_Credit_Risk_Dirty[[#This Row],[Borrower_Credit_Score]],"")</f>
        <v>766</v>
      </c>
    </row>
    <row r="585" spans="1:11" x14ac:dyDescent="0.25">
      <c r="A585" s="2" t="s">
        <v>607</v>
      </c>
      <c r="B585" s="2" t="s">
        <v>21</v>
      </c>
      <c r="C585" s="1">
        <v>45980</v>
      </c>
      <c r="D585">
        <v>52103</v>
      </c>
      <c r="E585">
        <v>830</v>
      </c>
      <c r="F585">
        <v>0.28999999999999998</v>
      </c>
      <c r="G585">
        <v>0</v>
      </c>
      <c r="H585" s="2" t="s">
        <v>19</v>
      </c>
      <c r="I585" s="2" t="s">
        <v>13</v>
      </c>
      <c r="J585">
        <v>9</v>
      </c>
      <c r="K585">
        <f>IF(AND(Banking_Credit_Risk_Dirty[[#This Row],[Borrower_Credit_Score]]&gt;=300,Banking_Credit_Risk_Dirty[[#This Row],[Borrower_Credit_Score]]&lt;=850),Banking_Credit_Risk_Dirty[[#This Row],[Borrower_Credit_Score]],"")</f>
        <v>830</v>
      </c>
    </row>
    <row r="586" spans="1:11" x14ac:dyDescent="0.25">
      <c r="A586" s="2" t="s">
        <v>608</v>
      </c>
      <c r="B586" s="2" t="s">
        <v>11</v>
      </c>
      <c r="C586" s="1">
        <v>45348</v>
      </c>
      <c r="D586">
        <v>136906</v>
      </c>
      <c r="E586">
        <v>747</v>
      </c>
      <c r="F586">
        <v>0.52</v>
      </c>
      <c r="G586">
        <v>0</v>
      </c>
      <c r="H586" s="2" t="s">
        <v>41</v>
      </c>
      <c r="I586" s="2" t="s">
        <v>13</v>
      </c>
      <c r="J586">
        <v>30</v>
      </c>
      <c r="K586">
        <f>IF(AND(Banking_Credit_Risk_Dirty[[#This Row],[Borrower_Credit_Score]]&gt;=300,Banking_Credit_Risk_Dirty[[#This Row],[Borrower_Credit_Score]]&lt;=850),Banking_Credit_Risk_Dirty[[#This Row],[Borrower_Credit_Score]],"")</f>
        <v>747</v>
      </c>
    </row>
    <row r="587" spans="1:11" x14ac:dyDescent="0.25">
      <c r="A587" s="2" t="s">
        <v>609</v>
      </c>
      <c r="B587" s="2" t="s">
        <v>43</v>
      </c>
      <c r="C587" s="1">
        <v>45386</v>
      </c>
      <c r="D587">
        <v>15394</v>
      </c>
      <c r="E587">
        <v>607</v>
      </c>
      <c r="F587">
        <v>0.45</v>
      </c>
      <c r="G587">
        <v>0</v>
      </c>
      <c r="H587" s="2" t="s">
        <v>19</v>
      </c>
      <c r="I587" s="2" t="s">
        <v>13</v>
      </c>
      <c r="J587">
        <v>29</v>
      </c>
      <c r="K587">
        <f>IF(AND(Banking_Credit_Risk_Dirty[[#This Row],[Borrower_Credit_Score]]&gt;=300,Banking_Credit_Risk_Dirty[[#This Row],[Borrower_Credit_Score]]&lt;=850),Banking_Credit_Risk_Dirty[[#This Row],[Borrower_Credit_Score]],"")</f>
        <v>607</v>
      </c>
    </row>
    <row r="588" spans="1:11" x14ac:dyDescent="0.25">
      <c r="A588" s="2" t="s">
        <v>610</v>
      </c>
      <c r="B588" s="2" t="s">
        <v>21</v>
      </c>
      <c r="C588" s="1">
        <v>45670</v>
      </c>
      <c r="D588">
        <v>15556</v>
      </c>
      <c r="E588">
        <v>543</v>
      </c>
      <c r="F588">
        <v>0.22</v>
      </c>
      <c r="G588">
        <v>3</v>
      </c>
      <c r="H588" s="2" t="s">
        <v>12</v>
      </c>
      <c r="I588" s="2" t="s">
        <v>17</v>
      </c>
      <c r="J588">
        <v>19</v>
      </c>
      <c r="K588">
        <f>IF(AND(Banking_Credit_Risk_Dirty[[#This Row],[Borrower_Credit_Score]]&gt;=300,Banking_Credit_Risk_Dirty[[#This Row],[Borrower_Credit_Score]]&lt;=850),Banking_Credit_Risk_Dirty[[#This Row],[Borrower_Credit_Score]],"")</f>
        <v>543</v>
      </c>
    </row>
    <row r="589" spans="1:11" x14ac:dyDescent="0.25">
      <c r="A589" s="2" t="s">
        <v>611</v>
      </c>
      <c r="B589" s="2" t="s">
        <v>15</v>
      </c>
      <c r="C589" s="1">
        <v>45528</v>
      </c>
      <c r="D589">
        <v>58923</v>
      </c>
      <c r="E589">
        <v>704</v>
      </c>
      <c r="F589">
        <v>0.27</v>
      </c>
      <c r="G589">
        <v>0</v>
      </c>
      <c r="H589" s="2" t="s">
        <v>27</v>
      </c>
      <c r="I589" s="2" t="s">
        <v>13</v>
      </c>
      <c r="J589">
        <v>24</v>
      </c>
      <c r="K589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590" spans="1:11" x14ac:dyDescent="0.25">
      <c r="A590" s="2" t="s">
        <v>612</v>
      </c>
      <c r="B590" s="2" t="s">
        <v>11</v>
      </c>
      <c r="C590" s="1">
        <v>45881</v>
      </c>
      <c r="D590">
        <v>46851</v>
      </c>
      <c r="E590">
        <v>810</v>
      </c>
      <c r="F590">
        <v>0.27</v>
      </c>
      <c r="G590">
        <v>5</v>
      </c>
      <c r="H590" s="2" t="s">
        <v>12</v>
      </c>
      <c r="I590" s="2" t="s">
        <v>23</v>
      </c>
      <c r="J590">
        <v>12</v>
      </c>
      <c r="K590">
        <f>IF(AND(Banking_Credit_Risk_Dirty[[#This Row],[Borrower_Credit_Score]]&gt;=300,Banking_Credit_Risk_Dirty[[#This Row],[Borrower_Credit_Score]]&lt;=850),Banking_Credit_Risk_Dirty[[#This Row],[Borrower_Credit_Score]],"")</f>
        <v>810</v>
      </c>
    </row>
    <row r="591" spans="1:11" x14ac:dyDescent="0.25">
      <c r="A591" s="2" t="s">
        <v>613</v>
      </c>
      <c r="B591" s="2" t="s">
        <v>21</v>
      </c>
      <c r="C591" s="1">
        <v>45559</v>
      </c>
      <c r="D591">
        <v>58185</v>
      </c>
      <c r="E591">
        <v>528</v>
      </c>
      <c r="F591">
        <v>0.23</v>
      </c>
      <c r="G591">
        <v>0</v>
      </c>
      <c r="H591" s="2" t="s">
        <v>16</v>
      </c>
      <c r="I591" s="2" t="s">
        <v>13</v>
      </c>
      <c r="J591">
        <v>23</v>
      </c>
      <c r="K591">
        <f>IF(AND(Banking_Credit_Risk_Dirty[[#This Row],[Borrower_Credit_Score]]&gt;=300,Banking_Credit_Risk_Dirty[[#This Row],[Borrower_Credit_Score]]&lt;=850),Banking_Credit_Risk_Dirty[[#This Row],[Borrower_Credit_Score]],"")</f>
        <v>528</v>
      </c>
    </row>
    <row r="592" spans="1:11" x14ac:dyDescent="0.25">
      <c r="A592" s="2" t="s">
        <v>614</v>
      </c>
      <c r="B592" s="2" t="s">
        <v>21</v>
      </c>
      <c r="C592" s="1">
        <v>45460</v>
      </c>
      <c r="D592">
        <v>7940</v>
      </c>
      <c r="E592">
        <v>704</v>
      </c>
      <c r="F592">
        <v>0.28000000000000003</v>
      </c>
      <c r="G592">
        <v>3</v>
      </c>
      <c r="H592" s="2" t="s">
        <v>19</v>
      </c>
      <c r="I592" s="2" t="s">
        <v>23</v>
      </c>
      <c r="J592">
        <v>26</v>
      </c>
      <c r="K592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593" spans="1:11" x14ac:dyDescent="0.25">
      <c r="A593" s="2" t="s">
        <v>615</v>
      </c>
      <c r="B593" s="2" t="s">
        <v>43</v>
      </c>
      <c r="C593" s="1">
        <v>45566</v>
      </c>
      <c r="D593">
        <v>82771</v>
      </c>
      <c r="E593">
        <v>748</v>
      </c>
      <c r="F593">
        <v>0.22</v>
      </c>
      <c r="G593">
        <v>0</v>
      </c>
      <c r="H593" s="2" t="s">
        <v>16</v>
      </c>
      <c r="I593" s="2" t="s">
        <v>13</v>
      </c>
      <c r="J593">
        <v>23</v>
      </c>
      <c r="K593">
        <f>IF(AND(Banking_Credit_Risk_Dirty[[#This Row],[Borrower_Credit_Score]]&gt;=300,Banking_Credit_Risk_Dirty[[#This Row],[Borrower_Credit_Score]]&lt;=850),Banking_Credit_Risk_Dirty[[#This Row],[Borrower_Credit_Score]],"")</f>
        <v>748</v>
      </c>
    </row>
    <row r="594" spans="1:11" x14ac:dyDescent="0.25">
      <c r="A594" s="2" t="s">
        <v>616</v>
      </c>
      <c r="B594" s="2" t="s">
        <v>15</v>
      </c>
      <c r="C594" s="1">
        <v>45691</v>
      </c>
      <c r="D594">
        <v>21732</v>
      </c>
      <c r="E594">
        <v>797</v>
      </c>
      <c r="F594">
        <v>0.28999999999999998</v>
      </c>
      <c r="G594">
        <v>6</v>
      </c>
      <c r="H594" s="2" t="s">
        <v>19</v>
      </c>
      <c r="I594" s="2" t="s">
        <v>23</v>
      </c>
      <c r="J594">
        <v>19</v>
      </c>
      <c r="K594">
        <f>IF(AND(Banking_Credit_Risk_Dirty[[#This Row],[Borrower_Credit_Score]]&gt;=300,Banking_Credit_Risk_Dirty[[#This Row],[Borrower_Credit_Score]]&lt;=850),Banking_Credit_Risk_Dirty[[#This Row],[Borrower_Credit_Score]],"")</f>
        <v>797</v>
      </c>
    </row>
    <row r="595" spans="1:11" x14ac:dyDescent="0.25">
      <c r="A595" s="2" t="s">
        <v>617</v>
      </c>
      <c r="B595" s="2" t="s">
        <v>21</v>
      </c>
      <c r="C595" s="1">
        <v>45632</v>
      </c>
      <c r="D595">
        <v>110401</v>
      </c>
      <c r="E595">
        <v>801</v>
      </c>
      <c r="F595">
        <v>0.23</v>
      </c>
      <c r="G595">
        <v>3</v>
      </c>
      <c r="H595" s="2" t="s">
        <v>19</v>
      </c>
      <c r="I595" s="2" t="s">
        <v>17</v>
      </c>
      <c r="J595">
        <v>21</v>
      </c>
      <c r="K595">
        <f>IF(AND(Banking_Credit_Risk_Dirty[[#This Row],[Borrower_Credit_Score]]&gt;=300,Banking_Credit_Risk_Dirty[[#This Row],[Borrower_Credit_Score]]&lt;=850),Banking_Credit_Risk_Dirty[[#This Row],[Borrower_Credit_Score]],"")</f>
        <v>801</v>
      </c>
    </row>
    <row r="596" spans="1:11" x14ac:dyDescent="0.25">
      <c r="A596" s="2" t="s">
        <v>618</v>
      </c>
      <c r="B596" s="2" t="s">
        <v>21</v>
      </c>
      <c r="C596" s="1">
        <v>45648</v>
      </c>
      <c r="D596">
        <v>61508</v>
      </c>
      <c r="E596">
        <v>661</v>
      </c>
      <c r="F596">
        <v>0.65</v>
      </c>
      <c r="G596">
        <v>2</v>
      </c>
      <c r="H596" s="2" t="s">
        <v>41</v>
      </c>
      <c r="I596" s="2" t="s">
        <v>23</v>
      </c>
      <c r="J596">
        <v>20</v>
      </c>
      <c r="K596">
        <f>IF(AND(Banking_Credit_Risk_Dirty[[#This Row],[Borrower_Credit_Score]]&gt;=300,Banking_Credit_Risk_Dirty[[#This Row],[Borrower_Credit_Score]]&lt;=850),Banking_Credit_Risk_Dirty[[#This Row],[Borrower_Credit_Score]],"")</f>
        <v>661</v>
      </c>
    </row>
    <row r="597" spans="1:11" x14ac:dyDescent="0.25">
      <c r="A597" s="2" t="s">
        <v>619</v>
      </c>
      <c r="B597" s="2" t="s">
        <v>11</v>
      </c>
      <c r="C597" s="1">
        <v>45474</v>
      </c>
      <c r="D597">
        <v>86876</v>
      </c>
      <c r="E597">
        <v>658</v>
      </c>
      <c r="F597">
        <v>0.64</v>
      </c>
      <c r="G597">
        <v>0</v>
      </c>
      <c r="H597" s="2" t="s">
        <v>12</v>
      </c>
      <c r="I597" s="2" t="s">
        <v>13</v>
      </c>
      <c r="J597">
        <v>26</v>
      </c>
      <c r="K597">
        <f>IF(AND(Banking_Credit_Risk_Dirty[[#This Row],[Borrower_Credit_Score]]&gt;=300,Banking_Credit_Risk_Dirty[[#This Row],[Borrower_Credit_Score]]&lt;=850),Banking_Credit_Risk_Dirty[[#This Row],[Borrower_Credit_Score]],"")</f>
        <v>658</v>
      </c>
    </row>
    <row r="598" spans="1:11" x14ac:dyDescent="0.25">
      <c r="A598" s="2" t="s">
        <v>620</v>
      </c>
      <c r="B598" s="2" t="s">
        <v>43</v>
      </c>
      <c r="C598" s="1">
        <v>45697</v>
      </c>
      <c r="D598">
        <v>95371</v>
      </c>
      <c r="E598">
        <v>687</v>
      </c>
      <c r="F598">
        <v>0.44</v>
      </c>
      <c r="G598">
        <v>0</v>
      </c>
      <c r="H598" s="2" t="s">
        <v>22</v>
      </c>
      <c r="I598" s="2" t="s">
        <v>13</v>
      </c>
      <c r="J598">
        <v>19</v>
      </c>
      <c r="K598">
        <f>IF(AND(Banking_Credit_Risk_Dirty[[#This Row],[Borrower_Credit_Score]]&gt;=300,Banking_Credit_Risk_Dirty[[#This Row],[Borrower_Credit_Score]]&lt;=850),Banking_Credit_Risk_Dirty[[#This Row],[Borrower_Credit_Score]],"")</f>
        <v>687</v>
      </c>
    </row>
    <row r="599" spans="1:11" x14ac:dyDescent="0.25">
      <c r="A599" s="2" t="s">
        <v>621</v>
      </c>
      <c r="B599" s="2" t="s">
        <v>43</v>
      </c>
      <c r="C599" s="1">
        <v>45870</v>
      </c>
      <c r="D599">
        <v>132389</v>
      </c>
      <c r="E599">
        <v>485</v>
      </c>
      <c r="F599">
        <v>0.38</v>
      </c>
      <c r="G599">
        <v>5</v>
      </c>
      <c r="H599" s="2" t="s">
        <v>41</v>
      </c>
      <c r="I599" s="2" t="s">
        <v>23</v>
      </c>
      <c r="J599">
        <v>13</v>
      </c>
      <c r="K599">
        <f>IF(AND(Banking_Credit_Risk_Dirty[[#This Row],[Borrower_Credit_Score]]&gt;=300,Banking_Credit_Risk_Dirty[[#This Row],[Borrower_Credit_Score]]&lt;=850),Banking_Credit_Risk_Dirty[[#This Row],[Borrower_Credit_Score]],"")</f>
        <v>485</v>
      </c>
    </row>
    <row r="600" spans="1:11" x14ac:dyDescent="0.25">
      <c r="A600" s="2" t="s">
        <v>622</v>
      </c>
      <c r="B600" s="2" t="s">
        <v>21</v>
      </c>
      <c r="C600" s="1">
        <v>45384</v>
      </c>
      <c r="D600">
        <v>148744</v>
      </c>
      <c r="E600">
        <v>740</v>
      </c>
      <c r="F600">
        <v>0.51</v>
      </c>
      <c r="G600">
        <v>0</v>
      </c>
      <c r="H600" s="2" t="s">
        <v>12</v>
      </c>
      <c r="I600" s="2" t="s">
        <v>13</v>
      </c>
      <c r="J600">
        <v>29</v>
      </c>
      <c r="K600">
        <f>IF(AND(Banking_Credit_Risk_Dirty[[#This Row],[Borrower_Credit_Score]]&gt;=300,Banking_Credit_Risk_Dirty[[#This Row],[Borrower_Credit_Score]]&lt;=850),Banking_Credit_Risk_Dirty[[#This Row],[Borrower_Credit_Score]],"")</f>
        <v>740</v>
      </c>
    </row>
    <row r="601" spans="1:11" x14ac:dyDescent="0.25">
      <c r="A601" s="2" t="s">
        <v>623</v>
      </c>
      <c r="B601" s="2" t="s">
        <v>11</v>
      </c>
      <c r="C601" s="1">
        <v>45717</v>
      </c>
      <c r="D601">
        <v>56372</v>
      </c>
      <c r="E601">
        <v>516</v>
      </c>
      <c r="F601">
        <v>0.48</v>
      </c>
      <c r="G601">
        <v>0</v>
      </c>
      <c r="H601" s="2" t="s">
        <v>19</v>
      </c>
      <c r="I601" s="2" t="s">
        <v>13</v>
      </c>
      <c r="J601">
        <v>18</v>
      </c>
      <c r="K601">
        <f>IF(AND(Banking_Credit_Risk_Dirty[[#This Row],[Borrower_Credit_Score]]&gt;=300,Banking_Credit_Risk_Dirty[[#This Row],[Borrower_Credit_Score]]&lt;=850),Banking_Credit_Risk_Dirty[[#This Row],[Borrower_Credit_Score]],"")</f>
        <v>516</v>
      </c>
    </row>
    <row r="602" spans="1:11" x14ac:dyDescent="0.25">
      <c r="A602" s="2" t="s">
        <v>624</v>
      </c>
      <c r="B602" s="2" t="s">
        <v>21</v>
      </c>
      <c r="C602" s="1">
        <v>45702</v>
      </c>
      <c r="D602">
        <v>87417</v>
      </c>
      <c r="E602">
        <v>-1</v>
      </c>
      <c r="F602">
        <v>0.16</v>
      </c>
      <c r="G602">
        <v>0</v>
      </c>
      <c r="H602" s="2" t="s">
        <v>27</v>
      </c>
      <c r="I602" s="2" t="s">
        <v>13</v>
      </c>
      <c r="J602">
        <v>18</v>
      </c>
      <c r="K602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603" spans="1:11" x14ac:dyDescent="0.25">
      <c r="A603" s="2" t="s">
        <v>625</v>
      </c>
      <c r="B603" s="2" t="s">
        <v>43</v>
      </c>
      <c r="C603" s="1">
        <v>45490</v>
      </c>
      <c r="D603">
        <v>99655</v>
      </c>
      <c r="E603">
        <v>536</v>
      </c>
      <c r="F603">
        <v>0.43</v>
      </c>
      <c r="G603">
        <v>0</v>
      </c>
      <c r="H603" s="2" t="s">
        <v>16</v>
      </c>
      <c r="I603" s="2" t="s">
        <v>13</v>
      </c>
      <c r="J603">
        <v>25</v>
      </c>
      <c r="K603">
        <f>IF(AND(Banking_Credit_Risk_Dirty[[#This Row],[Borrower_Credit_Score]]&gt;=300,Banking_Credit_Risk_Dirty[[#This Row],[Borrower_Credit_Score]]&lt;=850),Banking_Credit_Risk_Dirty[[#This Row],[Borrower_Credit_Score]],"")</f>
        <v>536</v>
      </c>
    </row>
    <row r="604" spans="1:11" x14ac:dyDescent="0.25">
      <c r="A604" s="2" t="s">
        <v>626</v>
      </c>
      <c r="B604" s="2" t="s">
        <v>15</v>
      </c>
      <c r="C604" s="1">
        <v>45933</v>
      </c>
      <c r="D604">
        <v>36734</v>
      </c>
      <c r="E604">
        <v>736</v>
      </c>
      <c r="F604">
        <v>0.15</v>
      </c>
      <c r="G604">
        <v>0</v>
      </c>
      <c r="H604" s="2" t="s">
        <v>41</v>
      </c>
      <c r="I604" s="2" t="s">
        <v>13</v>
      </c>
      <c r="J604">
        <v>11</v>
      </c>
      <c r="K604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605" spans="1:11" x14ac:dyDescent="0.25">
      <c r="A605" s="2" t="s">
        <v>627</v>
      </c>
      <c r="B605" s="2" t="s">
        <v>43</v>
      </c>
      <c r="C605" s="1">
        <v>45936</v>
      </c>
      <c r="D605">
        <v>86485</v>
      </c>
      <c r="E605">
        <v>770</v>
      </c>
      <c r="F605">
        <v>0.55000000000000004</v>
      </c>
      <c r="G605">
        <v>0</v>
      </c>
      <c r="H605" s="2" t="s">
        <v>19</v>
      </c>
      <c r="I605" s="2" t="s">
        <v>13</v>
      </c>
      <c r="J605">
        <v>11</v>
      </c>
      <c r="K605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606" spans="1:11" x14ac:dyDescent="0.25">
      <c r="A606" s="2" t="s">
        <v>628</v>
      </c>
      <c r="B606" s="2" t="s">
        <v>43</v>
      </c>
      <c r="C606" s="1">
        <v>45728</v>
      </c>
      <c r="D606">
        <v>50096</v>
      </c>
      <c r="E606">
        <v>620</v>
      </c>
      <c r="F606">
        <v>0.51</v>
      </c>
      <c r="G606">
        <v>3</v>
      </c>
      <c r="H606" s="2" t="s">
        <v>22</v>
      </c>
      <c r="I606" s="2" t="s">
        <v>17</v>
      </c>
      <c r="J606">
        <v>17</v>
      </c>
      <c r="K606">
        <f>IF(AND(Banking_Credit_Risk_Dirty[[#This Row],[Borrower_Credit_Score]]&gt;=300,Banking_Credit_Risk_Dirty[[#This Row],[Borrower_Credit_Score]]&lt;=850),Banking_Credit_Risk_Dirty[[#This Row],[Borrower_Credit_Score]],"")</f>
        <v>620</v>
      </c>
    </row>
    <row r="607" spans="1:11" x14ac:dyDescent="0.25">
      <c r="A607" s="2" t="s">
        <v>629</v>
      </c>
      <c r="B607" s="2" t="s">
        <v>11</v>
      </c>
      <c r="C607" s="1">
        <v>45551</v>
      </c>
      <c r="D607">
        <v>11017</v>
      </c>
      <c r="E607">
        <v>607</v>
      </c>
      <c r="F607">
        <v>0.16</v>
      </c>
      <c r="G607">
        <v>0</v>
      </c>
      <c r="H607" s="2" t="s">
        <v>19</v>
      </c>
      <c r="I607" s="2" t="s">
        <v>13</v>
      </c>
      <c r="J607">
        <v>23</v>
      </c>
      <c r="K607">
        <f>IF(AND(Banking_Credit_Risk_Dirty[[#This Row],[Borrower_Credit_Score]]&gt;=300,Banking_Credit_Risk_Dirty[[#This Row],[Borrower_Credit_Score]]&lt;=850),Banking_Credit_Risk_Dirty[[#This Row],[Borrower_Credit_Score]],"")</f>
        <v>607</v>
      </c>
    </row>
    <row r="608" spans="1:11" x14ac:dyDescent="0.25">
      <c r="A608" s="2" t="s">
        <v>630</v>
      </c>
      <c r="B608" s="2" t="s">
        <v>15</v>
      </c>
      <c r="C608" s="1">
        <v>45702</v>
      </c>
      <c r="D608">
        <v>116154</v>
      </c>
      <c r="E608">
        <v>540</v>
      </c>
      <c r="F608">
        <v>0.41</v>
      </c>
      <c r="G608">
        <v>0</v>
      </c>
      <c r="H608" s="2" t="s">
        <v>12</v>
      </c>
      <c r="I608" s="2" t="s">
        <v>13</v>
      </c>
      <c r="J608">
        <v>18</v>
      </c>
      <c r="K608">
        <f>IF(AND(Banking_Credit_Risk_Dirty[[#This Row],[Borrower_Credit_Score]]&gt;=300,Banking_Credit_Risk_Dirty[[#This Row],[Borrower_Credit_Score]]&lt;=850),Banking_Credit_Risk_Dirty[[#This Row],[Borrower_Credit_Score]],"")</f>
        <v>540</v>
      </c>
    </row>
    <row r="609" spans="1:11" x14ac:dyDescent="0.25">
      <c r="A609" s="2" t="s">
        <v>631</v>
      </c>
      <c r="B609" s="2" t="s">
        <v>21</v>
      </c>
      <c r="C609" s="1">
        <v>45500</v>
      </c>
      <c r="D609">
        <v>117003</v>
      </c>
      <c r="E609">
        <v>688</v>
      </c>
      <c r="F609">
        <v>0.31</v>
      </c>
      <c r="G609">
        <v>0</v>
      </c>
      <c r="H609" s="2" t="s">
        <v>19</v>
      </c>
      <c r="I609" s="2" t="s">
        <v>13</v>
      </c>
      <c r="J609">
        <v>25</v>
      </c>
      <c r="K609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610" spans="1:11" x14ac:dyDescent="0.25">
      <c r="A610" s="2" t="s">
        <v>632</v>
      </c>
      <c r="B610" s="2" t="s">
        <v>21</v>
      </c>
      <c r="C610" s="1">
        <v>45976</v>
      </c>
      <c r="D610">
        <v>19364</v>
      </c>
      <c r="E610">
        <v>725</v>
      </c>
      <c r="F610">
        <v>0.15</v>
      </c>
      <c r="G610">
        <v>0</v>
      </c>
      <c r="H610" s="2" t="s">
        <v>12</v>
      </c>
      <c r="I610" s="2" t="s">
        <v>13</v>
      </c>
      <c r="J610">
        <v>9</v>
      </c>
      <c r="K610">
        <f>IF(AND(Banking_Credit_Risk_Dirty[[#This Row],[Borrower_Credit_Score]]&gt;=300,Banking_Credit_Risk_Dirty[[#This Row],[Borrower_Credit_Score]]&lt;=850),Banking_Credit_Risk_Dirty[[#This Row],[Borrower_Credit_Score]],"")</f>
        <v>725</v>
      </c>
    </row>
    <row r="611" spans="1:11" x14ac:dyDescent="0.25">
      <c r="A611" s="2" t="s">
        <v>633</v>
      </c>
      <c r="B611" s="2" t="s">
        <v>43</v>
      </c>
      <c r="C611" s="1">
        <v>45576</v>
      </c>
      <c r="D611">
        <v>117043</v>
      </c>
      <c r="E611">
        <v>551</v>
      </c>
      <c r="F611">
        <v>0.35</v>
      </c>
      <c r="G611">
        <v>0</v>
      </c>
      <c r="H611" s="2" t="s">
        <v>41</v>
      </c>
      <c r="I611" s="2" t="s">
        <v>13</v>
      </c>
      <c r="J611">
        <v>22</v>
      </c>
      <c r="K611">
        <f>IF(AND(Banking_Credit_Risk_Dirty[[#This Row],[Borrower_Credit_Score]]&gt;=300,Banking_Credit_Risk_Dirty[[#This Row],[Borrower_Credit_Score]]&lt;=850),Banking_Credit_Risk_Dirty[[#This Row],[Borrower_Credit_Score]],"")</f>
        <v>551</v>
      </c>
    </row>
    <row r="612" spans="1:11" x14ac:dyDescent="0.25">
      <c r="A612" s="2" t="s">
        <v>634</v>
      </c>
      <c r="B612" s="2" t="s">
        <v>21</v>
      </c>
      <c r="C612" s="1">
        <v>45456</v>
      </c>
      <c r="D612">
        <v>107997</v>
      </c>
      <c r="E612">
        <v>667</v>
      </c>
      <c r="F612">
        <v>0.63</v>
      </c>
      <c r="G612">
        <v>0</v>
      </c>
      <c r="H612" s="2" t="s">
        <v>19</v>
      </c>
      <c r="I612" s="2" t="s">
        <v>13</v>
      </c>
      <c r="J612">
        <v>26</v>
      </c>
      <c r="K612">
        <f>IF(AND(Banking_Credit_Risk_Dirty[[#This Row],[Borrower_Credit_Score]]&gt;=300,Banking_Credit_Risk_Dirty[[#This Row],[Borrower_Credit_Score]]&lt;=850),Banking_Credit_Risk_Dirty[[#This Row],[Borrower_Credit_Score]],"")</f>
        <v>667</v>
      </c>
    </row>
    <row r="613" spans="1:11" x14ac:dyDescent="0.25">
      <c r="A613" s="2" t="s">
        <v>635</v>
      </c>
      <c r="B613" s="2" t="s">
        <v>43</v>
      </c>
      <c r="C613" s="1">
        <v>45688</v>
      </c>
      <c r="D613">
        <v>130947</v>
      </c>
      <c r="E613">
        <v>696</v>
      </c>
      <c r="F613">
        <v>0.25</v>
      </c>
      <c r="G613">
        <v>2</v>
      </c>
      <c r="H613" s="2" t="s">
        <v>19</v>
      </c>
      <c r="I613" s="2" t="s">
        <v>23</v>
      </c>
      <c r="J613">
        <v>19</v>
      </c>
      <c r="K613">
        <f>IF(AND(Banking_Credit_Risk_Dirty[[#This Row],[Borrower_Credit_Score]]&gt;=300,Banking_Credit_Risk_Dirty[[#This Row],[Borrower_Credit_Score]]&lt;=850),Banking_Credit_Risk_Dirty[[#This Row],[Borrower_Credit_Score]],"")</f>
        <v>696</v>
      </c>
    </row>
    <row r="614" spans="1:11" x14ac:dyDescent="0.25">
      <c r="A614" s="2" t="s">
        <v>636</v>
      </c>
      <c r="B614" s="2" t="s">
        <v>21</v>
      </c>
      <c r="C614" s="1">
        <v>45977</v>
      </c>
      <c r="D614">
        <v>149865</v>
      </c>
      <c r="E614">
        <v>809</v>
      </c>
      <c r="F614">
        <v>0.31</v>
      </c>
      <c r="G614">
        <v>1</v>
      </c>
      <c r="H614" s="2" t="s">
        <v>22</v>
      </c>
      <c r="I614" s="2" t="s">
        <v>23</v>
      </c>
      <c r="J614">
        <v>9</v>
      </c>
      <c r="K614">
        <f>IF(AND(Banking_Credit_Risk_Dirty[[#This Row],[Borrower_Credit_Score]]&gt;=300,Banking_Credit_Risk_Dirty[[#This Row],[Borrower_Credit_Score]]&lt;=850),Banking_Credit_Risk_Dirty[[#This Row],[Borrower_Credit_Score]],"")</f>
        <v>809</v>
      </c>
    </row>
    <row r="615" spans="1:11" x14ac:dyDescent="0.25">
      <c r="A615" s="2" t="s">
        <v>637</v>
      </c>
      <c r="B615" s="2" t="s">
        <v>43</v>
      </c>
      <c r="C615" s="1">
        <v>45522</v>
      </c>
      <c r="D615">
        <v>91024</v>
      </c>
      <c r="E615">
        <v>757</v>
      </c>
      <c r="F615">
        <v>0.37</v>
      </c>
      <c r="G615">
        <v>0</v>
      </c>
      <c r="H615" s="2" t="s">
        <v>16</v>
      </c>
      <c r="I615" s="2" t="s">
        <v>13</v>
      </c>
      <c r="J615">
        <v>24</v>
      </c>
      <c r="K615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616" spans="1:11" x14ac:dyDescent="0.25">
      <c r="A616" s="2" t="s">
        <v>638</v>
      </c>
      <c r="B616" s="2" t="s">
        <v>15</v>
      </c>
      <c r="C616" s="1">
        <v>45965</v>
      </c>
      <c r="D616">
        <v>21810</v>
      </c>
      <c r="E616">
        <v>522</v>
      </c>
      <c r="F616">
        <v>0.34</v>
      </c>
      <c r="G616">
        <v>0</v>
      </c>
      <c r="H616" s="2" t="s">
        <v>27</v>
      </c>
      <c r="I616" s="2" t="s">
        <v>13</v>
      </c>
      <c r="J616">
        <v>10</v>
      </c>
      <c r="K616">
        <f>IF(AND(Banking_Credit_Risk_Dirty[[#This Row],[Borrower_Credit_Score]]&gt;=300,Banking_Credit_Risk_Dirty[[#This Row],[Borrower_Credit_Score]]&lt;=850),Banking_Credit_Risk_Dirty[[#This Row],[Borrower_Credit_Score]],"")</f>
        <v>522</v>
      </c>
    </row>
    <row r="617" spans="1:11" x14ac:dyDescent="0.25">
      <c r="A617" s="2" t="s">
        <v>639</v>
      </c>
      <c r="B617" s="2" t="s">
        <v>21</v>
      </c>
      <c r="C617" s="1">
        <v>45797</v>
      </c>
      <c r="D617">
        <v>103311</v>
      </c>
      <c r="E617">
        <v>458</v>
      </c>
      <c r="F617">
        <v>0.48</v>
      </c>
      <c r="G617">
        <v>4</v>
      </c>
      <c r="H617" s="2" t="s">
        <v>12</v>
      </c>
      <c r="I617" s="2" t="s">
        <v>89</v>
      </c>
      <c r="J617">
        <v>15</v>
      </c>
      <c r="K617">
        <f>IF(AND(Banking_Credit_Risk_Dirty[[#This Row],[Borrower_Credit_Score]]&gt;=300,Banking_Credit_Risk_Dirty[[#This Row],[Borrower_Credit_Score]]&lt;=850),Banking_Credit_Risk_Dirty[[#This Row],[Borrower_Credit_Score]],"")</f>
        <v>458</v>
      </c>
    </row>
    <row r="618" spans="1:11" x14ac:dyDescent="0.25">
      <c r="A618" s="2" t="s">
        <v>640</v>
      </c>
      <c r="B618" s="2" t="s">
        <v>11</v>
      </c>
      <c r="C618" s="1">
        <v>45806</v>
      </c>
      <c r="D618">
        <v>22981</v>
      </c>
      <c r="E618">
        <v>505</v>
      </c>
      <c r="F618">
        <v>0.38</v>
      </c>
      <c r="G618">
        <v>0</v>
      </c>
      <c r="H618" s="2" t="s">
        <v>12</v>
      </c>
      <c r="I618" s="2" t="s">
        <v>13</v>
      </c>
      <c r="J618">
        <v>15</v>
      </c>
      <c r="K618">
        <f>IF(AND(Banking_Credit_Risk_Dirty[[#This Row],[Borrower_Credit_Score]]&gt;=300,Banking_Credit_Risk_Dirty[[#This Row],[Borrower_Credit_Score]]&lt;=850),Banking_Credit_Risk_Dirty[[#This Row],[Borrower_Credit_Score]],"")</f>
        <v>505</v>
      </c>
    </row>
    <row r="619" spans="1:11" x14ac:dyDescent="0.25">
      <c r="A619" s="2" t="s">
        <v>641</v>
      </c>
      <c r="B619" s="2" t="s">
        <v>15</v>
      </c>
      <c r="C619" s="1">
        <v>45880</v>
      </c>
      <c r="D619">
        <v>110508</v>
      </c>
      <c r="E619">
        <v>740</v>
      </c>
      <c r="F619">
        <v>0.46</v>
      </c>
      <c r="G619">
        <v>0</v>
      </c>
      <c r="H619" s="2" t="s">
        <v>12</v>
      </c>
      <c r="I619" s="2" t="s">
        <v>13</v>
      </c>
      <c r="J619">
        <v>12</v>
      </c>
      <c r="K619">
        <f>IF(AND(Banking_Credit_Risk_Dirty[[#This Row],[Borrower_Credit_Score]]&gt;=300,Banking_Credit_Risk_Dirty[[#This Row],[Borrower_Credit_Score]]&lt;=850),Banking_Credit_Risk_Dirty[[#This Row],[Borrower_Credit_Score]],"")</f>
        <v>740</v>
      </c>
    </row>
    <row r="620" spans="1:11" x14ac:dyDescent="0.25">
      <c r="A620" s="2" t="s">
        <v>642</v>
      </c>
      <c r="B620" s="2" t="s">
        <v>21</v>
      </c>
      <c r="C620" s="1">
        <v>45695</v>
      </c>
      <c r="D620">
        <v>74158</v>
      </c>
      <c r="E620">
        <v>675</v>
      </c>
      <c r="F620">
        <v>0.23</v>
      </c>
      <c r="G620">
        <v>0</v>
      </c>
      <c r="H620" s="2" t="s">
        <v>22</v>
      </c>
      <c r="I620" s="2" t="s">
        <v>13</v>
      </c>
      <c r="J620">
        <v>19</v>
      </c>
      <c r="K620">
        <f>IF(AND(Banking_Credit_Risk_Dirty[[#This Row],[Borrower_Credit_Score]]&gt;=300,Banking_Credit_Risk_Dirty[[#This Row],[Borrower_Credit_Score]]&lt;=850),Banking_Credit_Risk_Dirty[[#This Row],[Borrower_Credit_Score]],"")</f>
        <v>675</v>
      </c>
    </row>
    <row r="621" spans="1:11" x14ac:dyDescent="0.25">
      <c r="A621" s="2" t="s">
        <v>643</v>
      </c>
      <c r="B621" s="2" t="s">
        <v>11</v>
      </c>
      <c r="C621" s="1">
        <v>45427</v>
      </c>
      <c r="D621">
        <v>85762</v>
      </c>
      <c r="E621">
        <v>506</v>
      </c>
      <c r="F621">
        <v>0.15</v>
      </c>
      <c r="G621">
        <v>0</v>
      </c>
      <c r="H621" s="2" t="s">
        <v>12</v>
      </c>
      <c r="I621" s="2" t="s">
        <v>23</v>
      </c>
      <c r="J621">
        <v>27</v>
      </c>
      <c r="K621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622" spans="1:11" x14ac:dyDescent="0.25">
      <c r="A622" s="2" t="s">
        <v>644</v>
      </c>
      <c r="B622" s="2" t="s">
        <v>21</v>
      </c>
      <c r="C622" s="1">
        <v>45739</v>
      </c>
      <c r="D622">
        <v>58518</v>
      </c>
      <c r="E622">
        <v>671</v>
      </c>
      <c r="F622">
        <v>0.28999999999999998</v>
      </c>
      <c r="G622">
        <v>4</v>
      </c>
      <c r="H622" s="2" t="s">
        <v>19</v>
      </c>
      <c r="I622" s="2" t="s">
        <v>23</v>
      </c>
      <c r="J622">
        <v>17</v>
      </c>
      <c r="K622">
        <f>IF(AND(Banking_Credit_Risk_Dirty[[#This Row],[Borrower_Credit_Score]]&gt;=300,Banking_Credit_Risk_Dirty[[#This Row],[Borrower_Credit_Score]]&lt;=850),Banking_Credit_Risk_Dirty[[#This Row],[Borrower_Credit_Score]],"")</f>
        <v>671</v>
      </c>
    </row>
    <row r="623" spans="1:11" x14ac:dyDescent="0.25">
      <c r="A623" s="2" t="s">
        <v>645</v>
      </c>
      <c r="B623" s="2" t="s">
        <v>21</v>
      </c>
      <c r="C623" s="1">
        <v>45671</v>
      </c>
      <c r="D623">
        <v>133737</v>
      </c>
      <c r="E623">
        <v>839</v>
      </c>
      <c r="F623">
        <v>0.16</v>
      </c>
      <c r="G623">
        <v>3</v>
      </c>
      <c r="H623" s="2" t="s">
        <v>41</v>
      </c>
      <c r="I623" s="2" t="s">
        <v>23</v>
      </c>
      <c r="J623">
        <v>19</v>
      </c>
      <c r="K623">
        <f>IF(AND(Banking_Credit_Risk_Dirty[[#This Row],[Borrower_Credit_Score]]&gt;=300,Banking_Credit_Risk_Dirty[[#This Row],[Borrower_Credit_Score]]&lt;=850),Banking_Credit_Risk_Dirty[[#This Row],[Borrower_Credit_Score]],"")</f>
        <v>839</v>
      </c>
    </row>
    <row r="624" spans="1:11" x14ac:dyDescent="0.25">
      <c r="A624" s="2" t="s">
        <v>646</v>
      </c>
      <c r="B624" s="2" t="s">
        <v>15</v>
      </c>
      <c r="C624" s="1">
        <v>45650</v>
      </c>
      <c r="D624">
        <v>130204</v>
      </c>
      <c r="E624">
        <v>603</v>
      </c>
      <c r="F624">
        <v>0.41</v>
      </c>
      <c r="G624">
        <v>5</v>
      </c>
      <c r="H624" s="2" t="s">
        <v>41</v>
      </c>
      <c r="I624" s="2" t="s">
        <v>23</v>
      </c>
      <c r="J624">
        <v>20</v>
      </c>
      <c r="K624">
        <f>IF(AND(Banking_Credit_Risk_Dirty[[#This Row],[Borrower_Credit_Score]]&gt;=300,Banking_Credit_Risk_Dirty[[#This Row],[Borrower_Credit_Score]]&lt;=850),Banking_Credit_Risk_Dirty[[#This Row],[Borrower_Credit_Score]],"")</f>
        <v>603</v>
      </c>
    </row>
    <row r="625" spans="1:11" x14ac:dyDescent="0.25">
      <c r="A625" s="2" t="s">
        <v>647</v>
      </c>
      <c r="B625" s="2" t="s">
        <v>15</v>
      </c>
      <c r="C625" s="1">
        <v>45710</v>
      </c>
      <c r="D625">
        <v>110101</v>
      </c>
      <c r="E625">
        <v>618</v>
      </c>
      <c r="F625">
        <v>0.46</v>
      </c>
      <c r="G625">
        <v>0</v>
      </c>
      <c r="H625" s="2" t="s">
        <v>12</v>
      </c>
      <c r="I625" s="2" t="s">
        <v>13</v>
      </c>
      <c r="J625">
        <v>18</v>
      </c>
      <c r="K625">
        <f>IF(AND(Banking_Credit_Risk_Dirty[[#This Row],[Borrower_Credit_Score]]&gt;=300,Banking_Credit_Risk_Dirty[[#This Row],[Borrower_Credit_Score]]&lt;=850),Banking_Credit_Risk_Dirty[[#This Row],[Borrower_Credit_Score]],"")</f>
        <v>618</v>
      </c>
    </row>
    <row r="626" spans="1:11" x14ac:dyDescent="0.25">
      <c r="A626" s="2" t="s">
        <v>648</v>
      </c>
      <c r="B626" s="2" t="s">
        <v>21</v>
      </c>
      <c r="C626" s="1">
        <v>45556</v>
      </c>
      <c r="D626">
        <v>96452</v>
      </c>
      <c r="E626">
        <v>655</v>
      </c>
      <c r="F626">
        <v>0.51</v>
      </c>
      <c r="G626">
        <v>0</v>
      </c>
      <c r="H626" s="2" t="s">
        <v>12</v>
      </c>
      <c r="I626" s="2" t="s">
        <v>13</v>
      </c>
      <c r="J626">
        <v>23</v>
      </c>
      <c r="K626">
        <f>IF(AND(Banking_Credit_Risk_Dirty[[#This Row],[Borrower_Credit_Score]]&gt;=300,Banking_Credit_Risk_Dirty[[#This Row],[Borrower_Credit_Score]]&lt;=850),Banking_Credit_Risk_Dirty[[#This Row],[Borrower_Credit_Score]],"")</f>
        <v>655</v>
      </c>
    </row>
    <row r="627" spans="1:11" x14ac:dyDescent="0.25">
      <c r="A627" s="2" t="s">
        <v>649</v>
      </c>
      <c r="B627" s="2" t="s">
        <v>15</v>
      </c>
      <c r="C627" s="1">
        <v>45789</v>
      </c>
      <c r="D627">
        <v>16558</v>
      </c>
      <c r="E627">
        <v>586</v>
      </c>
      <c r="F627">
        <v>0.3</v>
      </c>
      <c r="G627">
        <v>4</v>
      </c>
      <c r="H627" s="2" t="s">
        <v>12</v>
      </c>
      <c r="I627" s="2" t="s">
        <v>23</v>
      </c>
      <c r="J627">
        <v>15</v>
      </c>
      <c r="K627">
        <f>IF(AND(Banking_Credit_Risk_Dirty[[#This Row],[Borrower_Credit_Score]]&gt;=300,Banking_Credit_Risk_Dirty[[#This Row],[Borrower_Credit_Score]]&lt;=850),Banking_Credit_Risk_Dirty[[#This Row],[Borrower_Credit_Score]],"")</f>
        <v>586</v>
      </c>
    </row>
    <row r="628" spans="1:11" x14ac:dyDescent="0.25">
      <c r="A628" s="2" t="s">
        <v>650</v>
      </c>
      <c r="B628" s="2" t="s">
        <v>11</v>
      </c>
      <c r="C628" s="1">
        <v>45824</v>
      </c>
      <c r="D628">
        <v>76295</v>
      </c>
      <c r="E628">
        <v>846</v>
      </c>
      <c r="F628">
        <v>0.62</v>
      </c>
      <c r="G628">
        <v>0</v>
      </c>
      <c r="H628" s="2" t="s">
        <v>19</v>
      </c>
      <c r="I628" s="2" t="s">
        <v>13</v>
      </c>
      <c r="J628">
        <v>14</v>
      </c>
      <c r="K628">
        <f>IF(AND(Banking_Credit_Risk_Dirty[[#This Row],[Borrower_Credit_Score]]&gt;=300,Banking_Credit_Risk_Dirty[[#This Row],[Borrower_Credit_Score]]&lt;=850),Banking_Credit_Risk_Dirty[[#This Row],[Borrower_Credit_Score]],"")</f>
        <v>846</v>
      </c>
    </row>
    <row r="629" spans="1:11" x14ac:dyDescent="0.25">
      <c r="A629" s="2" t="s">
        <v>651</v>
      </c>
      <c r="B629" s="2" t="s">
        <v>43</v>
      </c>
      <c r="C629" s="1">
        <v>45670</v>
      </c>
      <c r="D629">
        <v>111402</v>
      </c>
      <c r="E629">
        <v>744</v>
      </c>
      <c r="F629">
        <v>0.34</v>
      </c>
      <c r="G629">
        <v>0</v>
      </c>
      <c r="H629" s="2" t="s">
        <v>12</v>
      </c>
      <c r="I629" s="2" t="s">
        <v>13</v>
      </c>
      <c r="J629">
        <v>19</v>
      </c>
      <c r="K629">
        <f>IF(AND(Banking_Credit_Risk_Dirty[[#This Row],[Borrower_Credit_Score]]&gt;=300,Banking_Credit_Risk_Dirty[[#This Row],[Borrower_Credit_Score]]&lt;=850),Banking_Credit_Risk_Dirty[[#This Row],[Borrower_Credit_Score]],"")</f>
        <v>744</v>
      </c>
    </row>
    <row r="630" spans="1:11" x14ac:dyDescent="0.25">
      <c r="A630" s="2" t="s">
        <v>652</v>
      </c>
      <c r="B630" s="2" t="s">
        <v>15</v>
      </c>
      <c r="C630" s="1">
        <v>45554</v>
      </c>
      <c r="D630">
        <v>145511</v>
      </c>
      <c r="E630">
        <v>636</v>
      </c>
      <c r="F630">
        <v>0.44</v>
      </c>
      <c r="G630">
        <v>5</v>
      </c>
      <c r="H630" s="2" t="s">
        <v>12</v>
      </c>
      <c r="I630" s="2" t="s">
        <v>17</v>
      </c>
      <c r="J630">
        <v>23</v>
      </c>
      <c r="K630">
        <f>IF(AND(Banking_Credit_Risk_Dirty[[#This Row],[Borrower_Credit_Score]]&gt;=300,Banking_Credit_Risk_Dirty[[#This Row],[Borrower_Credit_Score]]&lt;=850),Banking_Credit_Risk_Dirty[[#This Row],[Borrower_Credit_Score]],"")</f>
        <v>636</v>
      </c>
    </row>
    <row r="631" spans="1:11" x14ac:dyDescent="0.25">
      <c r="A631" s="2" t="s">
        <v>653</v>
      </c>
      <c r="B631" s="2" t="s">
        <v>11</v>
      </c>
      <c r="C631" s="1">
        <v>45551</v>
      </c>
      <c r="D631">
        <v>94475</v>
      </c>
      <c r="E631">
        <v>489</v>
      </c>
      <c r="F631">
        <v>0.27</v>
      </c>
      <c r="G631">
        <v>4</v>
      </c>
      <c r="H631" s="2" t="s">
        <v>19</v>
      </c>
      <c r="I631" s="2" t="s">
        <v>23</v>
      </c>
      <c r="J631">
        <v>23</v>
      </c>
      <c r="K631">
        <f>IF(AND(Banking_Credit_Risk_Dirty[[#This Row],[Borrower_Credit_Score]]&gt;=300,Banking_Credit_Risk_Dirty[[#This Row],[Borrower_Credit_Score]]&lt;=850),Banking_Credit_Risk_Dirty[[#This Row],[Borrower_Credit_Score]],"")</f>
        <v>489</v>
      </c>
    </row>
    <row r="632" spans="1:11" x14ac:dyDescent="0.25">
      <c r="A632" s="2" t="s">
        <v>654</v>
      </c>
      <c r="B632" s="2" t="s">
        <v>15</v>
      </c>
      <c r="C632" s="1">
        <v>45689</v>
      </c>
      <c r="D632">
        <v>27990</v>
      </c>
      <c r="E632">
        <v>745</v>
      </c>
      <c r="F632">
        <v>0.61</v>
      </c>
      <c r="G632">
        <v>0</v>
      </c>
      <c r="H632" s="2" t="s">
        <v>41</v>
      </c>
      <c r="I632" s="2" t="s">
        <v>13</v>
      </c>
      <c r="J632">
        <v>19</v>
      </c>
      <c r="K632">
        <f>IF(AND(Banking_Credit_Risk_Dirty[[#This Row],[Borrower_Credit_Score]]&gt;=300,Banking_Credit_Risk_Dirty[[#This Row],[Borrower_Credit_Score]]&lt;=850),Banking_Credit_Risk_Dirty[[#This Row],[Borrower_Credit_Score]],"")</f>
        <v>745</v>
      </c>
    </row>
    <row r="633" spans="1:11" x14ac:dyDescent="0.25">
      <c r="A633" s="2" t="s">
        <v>655</v>
      </c>
      <c r="B633" s="2" t="s">
        <v>11</v>
      </c>
      <c r="C633" s="1">
        <v>45908</v>
      </c>
      <c r="D633">
        <v>128008</v>
      </c>
      <c r="E633">
        <v>513</v>
      </c>
      <c r="F633">
        <v>0.47</v>
      </c>
      <c r="G633">
        <v>0</v>
      </c>
      <c r="H633" s="2" t="s">
        <v>12</v>
      </c>
      <c r="I633" s="2" t="s">
        <v>13</v>
      </c>
      <c r="J633">
        <v>12</v>
      </c>
      <c r="K633">
        <f>IF(AND(Banking_Credit_Risk_Dirty[[#This Row],[Borrower_Credit_Score]]&gt;=300,Banking_Credit_Risk_Dirty[[#This Row],[Borrower_Credit_Score]]&lt;=850),Banking_Credit_Risk_Dirty[[#This Row],[Borrower_Credit_Score]],"")</f>
        <v>513</v>
      </c>
    </row>
    <row r="634" spans="1:11" x14ac:dyDescent="0.25">
      <c r="A634" s="2" t="s">
        <v>656</v>
      </c>
      <c r="B634" s="2" t="s">
        <v>15</v>
      </c>
      <c r="C634" s="1">
        <v>45647</v>
      </c>
      <c r="D634">
        <v>7908</v>
      </c>
      <c r="E634">
        <v>768</v>
      </c>
      <c r="F634">
        <v>0.25</v>
      </c>
      <c r="G634">
        <v>0</v>
      </c>
      <c r="H634" s="2" t="s">
        <v>22</v>
      </c>
      <c r="I634" s="2" t="s">
        <v>13</v>
      </c>
      <c r="J634">
        <v>20</v>
      </c>
      <c r="K634">
        <f>IF(AND(Banking_Credit_Risk_Dirty[[#This Row],[Borrower_Credit_Score]]&gt;=300,Banking_Credit_Risk_Dirty[[#This Row],[Borrower_Credit_Score]]&lt;=850),Banking_Credit_Risk_Dirty[[#This Row],[Borrower_Credit_Score]],"")</f>
        <v>768</v>
      </c>
    </row>
    <row r="635" spans="1:11" x14ac:dyDescent="0.25">
      <c r="A635" s="2" t="s">
        <v>657</v>
      </c>
      <c r="B635" s="2" t="s">
        <v>15</v>
      </c>
      <c r="C635" s="1">
        <v>45839</v>
      </c>
      <c r="D635">
        <v>48579</v>
      </c>
      <c r="E635">
        <v>815</v>
      </c>
      <c r="F635">
        <v>0.45</v>
      </c>
      <c r="G635">
        <v>0</v>
      </c>
      <c r="H635" s="2" t="s">
        <v>19</v>
      </c>
      <c r="I635" s="2" t="s">
        <v>13</v>
      </c>
      <c r="J635">
        <v>14</v>
      </c>
      <c r="K635">
        <f>IF(AND(Banking_Credit_Risk_Dirty[[#This Row],[Borrower_Credit_Score]]&gt;=300,Banking_Credit_Risk_Dirty[[#This Row],[Borrower_Credit_Score]]&lt;=850),Banking_Credit_Risk_Dirty[[#This Row],[Borrower_Credit_Score]],"")</f>
        <v>815</v>
      </c>
    </row>
    <row r="636" spans="1:11" x14ac:dyDescent="0.25">
      <c r="A636" s="2" t="s">
        <v>658</v>
      </c>
      <c r="B636" s="2" t="s">
        <v>21</v>
      </c>
      <c r="C636" s="1">
        <v>45859</v>
      </c>
      <c r="D636">
        <v>117841</v>
      </c>
      <c r="E636">
        <v>722</v>
      </c>
      <c r="F636">
        <v>0.59</v>
      </c>
      <c r="G636">
        <v>0</v>
      </c>
      <c r="H636" s="2" t="s">
        <v>19</v>
      </c>
      <c r="I636" s="2" t="s">
        <v>13</v>
      </c>
      <c r="J636">
        <v>13</v>
      </c>
      <c r="K636">
        <f>IF(AND(Banking_Credit_Risk_Dirty[[#This Row],[Borrower_Credit_Score]]&gt;=300,Banking_Credit_Risk_Dirty[[#This Row],[Borrower_Credit_Score]]&lt;=850),Banking_Credit_Risk_Dirty[[#This Row],[Borrower_Credit_Score]],"")</f>
        <v>722</v>
      </c>
    </row>
    <row r="637" spans="1:11" x14ac:dyDescent="0.25">
      <c r="A637" s="2" t="s">
        <v>659</v>
      </c>
      <c r="B637" s="2" t="s">
        <v>21</v>
      </c>
      <c r="C637" s="1">
        <v>45828</v>
      </c>
      <c r="D637">
        <v>109897</v>
      </c>
      <c r="E637">
        <v>770</v>
      </c>
      <c r="F637">
        <v>0.39</v>
      </c>
      <c r="G637">
        <v>0</v>
      </c>
      <c r="H637" s="2" t="s">
        <v>19</v>
      </c>
      <c r="I637" s="2" t="s">
        <v>13</v>
      </c>
      <c r="J637">
        <v>14</v>
      </c>
      <c r="K637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638" spans="1:11" x14ac:dyDescent="0.25">
      <c r="A638" s="2" t="s">
        <v>660</v>
      </c>
      <c r="B638" s="2" t="s">
        <v>15</v>
      </c>
      <c r="C638" s="1">
        <v>45679</v>
      </c>
      <c r="D638">
        <v>14042</v>
      </c>
      <c r="E638">
        <v>762</v>
      </c>
      <c r="F638">
        <v>0.62</v>
      </c>
      <c r="G638">
        <v>0</v>
      </c>
      <c r="H638" s="2" t="s">
        <v>27</v>
      </c>
      <c r="I638" s="2" t="s">
        <v>13</v>
      </c>
      <c r="J638">
        <v>19</v>
      </c>
      <c r="K638">
        <f>IF(AND(Banking_Credit_Risk_Dirty[[#This Row],[Borrower_Credit_Score]]&gt;=300,Banking_Credit_Risk_Dirty[[#This Row],[Borrower_Credit_Score]]&lt;=850),Banking_Credit_Risk_Dirty[[#This Row],[Borrower_Credit_Score]],"")</f>
        <v>762</v>
      </c>
    </row>
    <row r="639" spans="1:11" x14ac:dyDescent="0.25">
      <c r="A639" s="2" t="s">
        <v>661</v>
      </c>
      <c r="B639" s="2" t="s">
        <v>15</v>
      </c>
      <c r="C639" s="1">
        <v>45590</v>
      </c>
      <c r="D639">
        <v>137018</v>
      </c>
      <c r="E639">
        <v>458</v>
      </c>
      <c r="F639">
        <v>0.49</v>
      </c>
      <c r="G639">
        <v>2</v>
      </c>
      <c r="H639" s="2" t="s">
        <v>12</v>
      </c>
      <c r="I639" s="2" t="s">
        <v>23</v>
      </c>
      <c r="J639">
        <v>22</v>
      </c>
      <c r="K639">
        <f>IF(AND(Banking_Credit_Risk_Dirty[[#This Row],[Borrower_Credit_Score]]&gt;=300,Banking_Credit_Risk_Dirty[[#This Row],[Borrower_Credit_Score]]&lt;=850),Banking_Credit_Risk_Dirty[[#This Row],[Borrower_Credit_Score]],"")</f>
        <v>458</v>
      </c>
    </row>
    <row r="640" spans="1:11" x14ac:dyDescent="0.25">
      <c r="A640" s="2" t="s">
        <v>662</v>
      </c>
      <c r="B640" s="2" t="s">
        <v>21</v>
      </c>
      <c r="C640" s="1">
        <v>45329</v>
      </c>
      <c r="D640">
        <v>52479</v>
      </c>
      <c r="E640">
        <v>456</v>
      </c>
      <c r="F640">
        <v>0.36</v>
      </c>
      <c r="G640">
        <v>0</v>
      </c>
      <c r="H640" s="2" t="s">
        <v>22</v>
      </c>
      <c r="I640" s="2" t="s">
        <v>17</v>
      </c>
      <c r="J640">
        <v>31</v>
      </c>
      <c r="K640">
        <f>IF(AND(Banking_Credit_Risk_Dirty[[#This Row],[Borrower_Credit_Score]]&gt;=300,Banking_Credit_Risk_Dirty[[#This Row],[Borrower_Credit_Score]]&lt;=850),Banking_Credit_Risk_Dirty[[#This Row],[Borrower_Credit_Score]],"")</f>
        <v>456</v>
      </c>
    </row>
    <row r="641" spans="1:11" x14ac:dyDescent="0.25">
      <c r="A641" s="2" t="s">
        <v>663</v>
      </c>
      <c r="B641" s="2" t="s">
        <v>15</v>
      </c>
      <c r="C641" s="1">
        <v>45908</v>
      </c>
      <c r="D641">
        <v>97198</v>
      </c>
      <c r="E641">
        <v>675</v>
      </c>
      <c r="F641">
        <v>0.62</v>
      </c>
      <c r="G641">
        <v>5</v>
      </c>
      <c r="H641" s="2" t="s">
        <v>41</v>
      </c>
      <c r="I641" s="2" t="s">
        <v>23</v>
      </c>
      <c r="J641">
        <v>12</v>
      </c>
      <c r="K641">
        <f>IF(AND(Banking_Credit_Risk_Dirty[[#This Row],[Borrower_Credit_Score]]&gt;=300,Banking_Credit_Risk_Dirty[[#This Row],[Borrower_Credit_Score]]&lt;=850),Banking_Credit_Risk_Dirty[[#This Row],[Borrower_Credit_Score]],"")</f>
        <v>675</v>
      </c>
    </row>
    <row r="642" spans="1:11" x14ac:dyDescent="0.25">
      <c r="A642" s="2" t="s">
        <v>664</v>
      </c>
      <c r="B642" s="2" t="s">
        <v>15</v>
      </c>
      <c r="C642" s="1">
        <v>45845</v>
      </c>
      <c r="D642">
        <v>45898</v>
      </c>
      <c r="E642">
        <v>824</v>
      </c>
      <c r="F642">
        <v>0.27</v>
      </c>
      <c r="G642">
        <v>0</v>
      </c>
      <c r="H642" s="2" t="s">
        <v>22</v>
      </c>
      <c r="I642" s="2" t="s">
        <v>13</v>
      </c>
      <c r="J642">
        <v>14</v>
      </c>
      <c r="K642">
        <f>IF(AND(Banking_Credit_Risk_Dirty[[#This Row],[Borrower_Credit_Score]]&gt;=300,Banking_Credit_Risk_Dirty[[#This Row],[Borrower_Credit_Score]]&lt;=850),Banking_Credit_Risk_Dirty[[#This Row],[Borrower_Credit_Score]],"")</f>
        <v>824</v>
      </c>
    </row>
    <row r="643" spans="1:11" x14ac:dyDescent="0.25">
      <c r="A643" s="2" t="s">
        <v>665</v>
      </c>
      <c r="B643" s="2" t="s">
        <v>21</v>
      </c>
      <c r="C643" s="1">
        <v>45964</v>
      </c>
      <c r="D643">
        <v>97512</v>
      </c>
      <c r="E643">
        <v>644</v>
      </c>
      <c r="F643">
        <v>0.31</v>
      </c>
      <c r="G643">
        <v>5</v>
      </c>
      <c r="H643" s="2" t="s">
        <v>16</v>
      </c>
      <c r="I643" s="2" t="s">
        <v>17</v>
      </c>
      <c r="J643">
        <v>10</v>
      </c>
      <c r="K643">
        <f>IF(AND(Banking_Credit_Risk_Dirty[[#This Row],[Borrower_Credit_Score]]&gt;=300,Banking_Credit_Risk_Dirty[[#This Row],[Borrower_Credit_Score]]&lt;=850),Banking_Credit_Risk_Dirty[[#This Row],[Borrower_Credit_Score]],"")</f>
        <v>644</v>
      </c>
    </row>
    <row r="644" spans="1:11" x14ac:dyDescent="0.25">
      <c r="A644" s="2" t="s">
        <v>666</v>
      </c>
      <c r="B644" s="2" t="s">
        <v>43</v>
      </c>
      <c r="C644" s="1">
        <v>45865</v>
      </c>
      <c r="D644">
        <v>10574</v>
      </c>
      <c r="E644">
        <v>839</v>
      </c>
      <c r="F644">
        <v>0.48</v>
      </c>
      <c r="G644">
        <v>0</v>
      </c>
      <c r="H644" s="2" t="s">
        <v>12</v>
      </c>
      <c r="I644" s="2" t="s">
        <v>13</v>
      </c>
      <c r="J644">
        <v>13</v>
      </c>
      <c r="K644">
        <f>IF(AND(Banking_Credit_Risk_Dirty[[#This Row],[Borrower_Credit_Score]]&gt;=300,Banking_Credit_Risk_Dirty[[#This Row],[Borrower_Credit_Score]]&lt;=850),Banking_Credit_Risk_Dirty[[#This Row],[Borrower_Credit_Score]],"")</f>
        <v>839</v>
      </c>
    </row>
    <row r="645" spans="1:11" x14ac:dyDescent="0.25">
      <c r="A645" s="2" t="s">
        <v>667</v>
      </c>
      <c r="B645" s="2" t="s">
        <v>21</v>
      </c>
      <c r="C645" s="1">
        <v>45386</v>
      </c>
      <c r="D645">
        <v>84366</v>
      </c>
      <c r="E645">
        <v>834</v>
      </c>
      <c r="F645">
        <v>0.49</v>
      </c>
      <c r="G645">
        <v>4</v>
      </c>
      <c r="H645" s="2" t="s">
        <v>22</v>
      </c>
      <c r="I645" s="2" t="s">
        <v>23</v>
      </c>
      <c r="J645">
        <v>29</v>
      </c>
      <c r="K645">
        <f>IF(AND(Banking_Credit_Risk_Dirty[[#This Row],[Borrower_Credit_Score]]&gt;=300,Banking_Credit_Risk_Dirty[[#This Row],[Borrower_Credit_Score]]&lt;=850),Banking_Credit_Risk_Dirty[[#This Row],[Borrower_Credit_Score]],"")</f>
        <v>834</v>
      </c>
    </row>
    <row r="646" spans="1:11" x14ac:dyDescent="0.25">
      <c r="A646" s="2" t="s">
        <v>668</v>
      </c>
      <c r="B646" s="2" t="s">
        <v>21</v>
      </c>
      <c r="C646" s="1">
        <v>45786</v>
      </c>
      <c r="D646">
        <v>67739</v>
      </c>
      <c r="E646">
        <v>757</v>
      </c>
      <c r="F646">
        <v>0.27</v>
      </c>
      <c r="G646">
        <v>1</v>
      </c>
      <c r="H646" s="2" t="s">
        <v>41</v>
      </c>
      <c r="I646" s="2" t="s">
        <v>17</v>
      </c>
      <c r="J646">
        <v>16</v>
      </c>
      <c r="K646">
        <f>IF(AND(Banking_Credit_Risk_Dirty[[#This Row],[Borrower_Credit_Score]]&gt;=300,Banking_Credit_Risk_Dirty[[#This Row],[Borrower_Credit_Score]]&lt;=850),Banking_Credit_Risk_Dirty[[#This Row],[Borrower_Credit_Score]],"")</f>
        <v>757</v>
      </c>
    </row>
    <row r="647" spans="1:11" x14ac:dyDescent="0.25">
      <c r="A647" s="2" t="s">
        <v>669</v>
      </c>
      <c r="B647" s="2" t="s">
        <v>21</v>
      </c>
      <c r="C647" s="1">
        <v>45536</v>
      </c>
      <c r="D647">
        <v>23161</v>
      </c>
      <c r="E647">
        <v>495</v>
      </c>
      <c r="F647">
        <v>0.41</v>
      </c>
      <c r="G647">
        <v>0</v>
      </c>
      <c r="H647" s="2" t="s">
        <v>22</v>
      </c>
      <c r="I647" s="2" t="s">
        <v>13</v>
      </c>
      <c r="J647">
        <v>24</v>
      </c>
      <c r="K647">
        <f>IF(AND(Banking_Credit_Risk_Dirty[[#This Row],[Borrower_Credit_Score]]&gt;=300,Banking_Credit_Risk_Dirty[[#This Row],[Borrower_Credit_Score]]&lt;=850),Banking_Credit_Risk_Dirty[[#This Row],[Borrower_Credit_Score]],"")</f>
        <v>495</v>
      </c>
    </row>
    <row r="648" spans="1:11" x14ac:dyDescent="0.25">
      <c r="A648" s="2" t="s">
        <v>670</v>
      </c>
      <c r="B648" s="2" t="s">
        <v>15</v>
      </c>
      <c r="C648" s="1">
        <v>45921</v>
      </c>
      <c r="D648">
        <v>25923</v>
      </c>
      <c r="E648">
        <v>676</v>
      </c>
      <c r="F648">
        <v>0.39</v>
      </c>
      <c r="G648">
        <v>0</v>
      </c>
      <c r="H648" s="2" t="s">
        <v>19</v>
      </c>
      <c r="I648" s="2" t="s">
        <v>13</v>
      </c>
      <c r="J648">
        <v>11</v>
      </c>
      <c r="K648">
        <f>IF(AND(Banking_Credit_Risk_Dirty[[#This Row],[Borrower_Credit_Score]]&gt;=300,Banking_Credit_Risk_Dirty[[#This Row],[Borrower_Credit_Score]]&lt;=850),Banking_Credit_Risk_Dirty[[#This Row],[Borrower_Credit_Score]],"")</f>
        <v>676</v>
      </c>
    </row>
    <row r="649" spans="1:11" x14ac:dyDescent="0.25">
      <c r="A649" s="2" t="s">
        <v>671</v>
      </c>
      <c r="B649" s="2" t="s">
        <v>43</v>
      </c>
      <c r="C649" s="1">
        <v>45585</v>
      </c>
      <c r="D649">
        <v>114952</v>
      </c>
      <c r="E649">
        <v>589</v>
      </c>
      <c r="F649">
        <v>0.41</v>
      </c>
      <c r="G649">
        <v>0</v>
      </c>
      <c r="H649" s="2" t="s">
        <v>12</v>
      </c>
      <c r="I649" s="2" t="s">
        <v>13</v>
      </c>
      <c r="J649">
        <v>22</v>
      </c>
      <c r="K649">
        <f>IF(AND(Banking_Credit_Risk_Dirty[[#This Row],[Borrower_Credit_Score]]&gt;=300,Banking_Credit_Risk_Dirty[[#This Row],[Borrower_Credit_Score]]&lt;=850),Banking_Credit_Risk_Dirty[[#This Row],[Borrower_Credit_Score]],"")</f>
        <v>589</v>
      </c>
    </row>
    <row r="650" spans="1:11" x14ac:dyDescent="0.25">
      <c r="A650" s="2" t="s">
        <v>672</v>
      </c>
      <c r="B650" s="2" t="s">
        <v>21</v>
      </c>
      <c r="C650" s="1">
        <v>45336</v>
      </c>
      <c r="D650">
        <v>39998</v>
      </c>
      <c r="E650">
        <v>753</v>
      </c>
      <c r="F650">
        <v>0.62</v>
      </c>
      <c r="G650">
        <v>4</v>
      </c>
      <c r="H650" s="2" t="s">
        <v>41</v>
      </c>
      <c r="I650" s="2" t="s">
        <v>23</v>
      </c>
      <c r="J650">
        <v>30</v>
      </c>
      <c r="K650">
        <f>IF(AND(Banking_Credit_Risk_Dirty[[#This Row],[Borrower_Credit_Score]]&gt;=300,Banking_Credit_Risk_Dirty[[#This Row],[Borrower_Credit_Score]]&lt;=850),Banking_Credit_Risk_Dirty[[#This Row],[Borrower_Credit_Score]],"")</f>
        <v>753</v>
      </c>
    </row>
    <row r="651" spans="1:11" x14ac:dyDescent="0.25">
      <c r="A651" s="2" t="s">
        <v>673</v>
      </c>
      <c r="B651" s="2" t="s">
        <v>21</v>
      </c>
      <c r="C651" s="1">
        <v>45817</v>
      </c>
      <c r="D651">
        <v>5125</v>
      </c>
      <c r="E651">
        <v>820</v>
      </c>
      <c r="F651">
        <v>0.48</v>
      </c>
      <c r="G651">
        <v>4</v>
      </c>
      <c r="H651" s="2" t="s">
        <v>12</v>
      </c>
      <c r="I651" s="2" t="s">
        <v>17</v>
      </c>
      <c r="J651">
        <v>15</v>
      </c>
      <c r="K651">
        <f>IF(AND(Banking_Credit_Risk_Dirty[[#This Row],[Borrower_Credit_Score]]&gt;=300,Banking_Credit_Risk_Dirty[[#This Row],[Borrower_Credit_Score]]&lt;=850),Banking_Credit_Risk_Dirty[[#This Row],[Borrower_Credit_Score]],"")</f>
        <v>820</v>
      </c>
    </row>
    <row r="652" spans="1:11" x14ac:dyDescent="0.25">
      <c r="A652" s="2" t="s">
        <v>674</v>
      </c>
      <c r="B652" s="2" t="s">
        <v>43</v>
      </c>
      <c r="C652" s="1">
        <v>45314</v>
      </c>
      <c r="D652">
        <v>104279</v>
      </c>
      <c r="E652">
        <v>473</v>
      </c>
      <c r="F652">
        <v>0.32</v>
      </c>
      <c r="G652">
        <v>1</v>
      </c>
      <c r="H652" s="2" t="s">
        <v>22</v>
      </c>
      <c r="I652" s="2" t="s">
        <v>17</v>
      </c>
      <c r="J652">
        <v>31</v>
      </c>
      <c r="K652">
        <f>IF(AND(Banking_Credit_Risk_Dirty[[#This Row],[Borrower_Credit_Score]]&gt;=300,Banking_Credit_Risk_Dirty[[#This Row],[Borrower_Credit_Score]]&lt;=850),Banking_Credit_Risk_Dirty[[#This Row],[Borrower_Credit_Score]],"")</f>
        <v>473</v>
      </c>
    </row>
    <row r="653" spans="1:11" x14ac:dyDescent="0.25">
      <c r="A653" s="2" t="s">
        <v>675</v>
      </c>
      <c r="B653" s="2" t="s">
        <v>43</v>
      </c>
      <c r="C653" s="1">
        <v>45933</v>
      </c>
      <c r="D653">
        <v>17143</v>
      </c>
      <c r="E653">
        <v>689</v>
      </c>
      <c r="F653">
        <v>0.28000000000000003</v>
      </c>
      <c r="G653">
        <v>0</v>
      </c>
      <c r="H653" s="2" t="s">
        <v>19</v>
      </c>
      <c r="I653" s="2" t="s">
        <v>13</v>
      </c>
      <c r="J653">
        <v>11</v>
      </c>
      <c r="K653">
        <f>IF(AND(Banking_Credit_Risk_Dirty[[#This Row],[Borrower_Credit_Score]]&gt;=300,Banking_Credit_Risk_Dirty[[#This Row],[Borrower_Credit_Score]]&lt;=850),Banking_Credit_Risk_Dirty[[#This Row],[Borrower_Credit_Score]],"")</f>
        <v>689</v>
      </c>
    </row>
    <row r="654" spans="1:11" x14ac:dyDescent="0.25">
      <c r="A654" s="2" t="s">
        <v>676</v>
      </c>
      <c r="B654" s="2" t="s">
        <v>15</v>
      </c>
      <c r="C654" s="1">
        <v>45573</v>
      </c>
      <c r="D654">
        <v>133642</v>
      </c>
      <c r="E654">
        <v>793</v>
      </c>
      <c r="F654">
        <v>0.35</v>
      </c>
      <c r="G654">
        <v>0</v>
      </c>
      <c r="H654" s="2" t="s">
        <v>16</v>
      </c>
      <c r="I654" s="2" t="s">
        <v>13</v>
      </c>
      <c r="J654">
        <v>23</v>
      </c>
      <c r="K654">
        <f>IF(AND(Banking_Credit_Risk_Dirty[[#This Row],[Borrower_Credit_Score]]&gt;=300,Banking_Credit_Risk_Dirty[[#This Row],[Borrower_Credit_Score]]&lt;=850),Banking_Credit_Risk_Dirty[[#This Row],[Borrower_Credit_Score]],"")</f>
        <v>793</v>
      </c>
    </row>
    <row r="655" spans="1:11" x14ac:dyDescent="0.25">
      <c r="A655" s="2" t="s">
        <v>677</v>
      </c>
      <c r="B655" s="2" t="s">
        <v>21</v>
      </c>
      <c r="C655" s="1">
        <v>45391</v>
      </c>
      <c r="D655">
        <v>55668</v>
      </c>
      <c r="E655">
        <v>796</v>
      </c>
      <c r="F655">
        <v>0.31</v>
      </c>
      <c r="G655">
        <v>0</v>
      </c>
      <c r="H655" s="2" t="s">
        <v>12</v>
      </c>
      <c r="I655" s="2" t="s">
        <v>13</v>
      </c>
      <c r="J655">
        <v>29</v>
      </c>
      <c r="K655">
        <f>IF(AND(Banking_Credit_Risk_Dirty[[#This Row],[Borrower_Credit_Score]]&gt;=300,Banking_Credit_Risk_Dirty[[#This Row],[Borrower_Credit_Score]]&lt;=850),Banking_Credit_Risk_Dirty[[#This Row],[Borrower_Credit_Score]],"")</f>
        <v>796</v>
      </c>
    </row>
    <row r="656" spans="1:11" x14ac:dyDescent="0.25">
      <c r="A656" s="2" t="s">
        <v>678</v>
      </c>
      <c r="B656" s="2" t="s">
        <v>21</v>
      </c>
      <c r="C656" s="1">
        <v>45908</v>
      </c>
      <c r="D656">
        <v>38152</v>
      </c>
      <c r="E656">
        <v>683</v>
      </c>
      <c r="F656">
        <v>0.56999999999999995</v>
      </c>
      <c r="G656">
        <v>1</v>
      </c>
      <c r="H656" s="2" t="s">
        <v>16</v>
      </c>
      <c r="I656" s="2" t="s">
        <v>17</v>
      </c>
      <c r="J656">
        <v>12</v>
      </c>
      <c r="K656">
        <f>IF(AND(Banking_Credit_Risk_Dirty[[#This Row],[Borrower_Credit_Score]]&gt;=300,Banking_Credit_Risk_Dirty[[#This Row],[Borrower_Credit_Score]]&lt;=850),Banking_Credit_Risk_Dirty[[#This Row],[Borrower_Credit_Score]],"")</f>
        <v>683</v>
      </c>
    </row>
    <row r="657" spans="1:11" x14ac:dyDescent="0.25">
      <c r="A657" s="2" t="s">
        <v>679</v>
      </c>
      <c r="B657" s="2" t="s">
        <v>21</v>
      </c>
      <c r="C657" s="1">
        <v>45793</v>
      </c>
      <c r="D657">
        <v>84941</v>
      </c>
      <c r="E657">
        <v>492</v>
      </c>
      <c r="F657">
        <v>0.15</v>
      </c>
      <c r="G657">
        <v>0</v>
      </c>
      <c r="H657" s="2" t="s">
        <v>12</v>
      </c>
      <c r="I657" s="2" t="s">
        <v>13</v>
      </c>
      <c r="J657">
        <v>15</v>
      </c>
      <c r="K657">
        <f>IF(AND(Banking_Credit_Risk_Dirty[[#This Row],[Borrower_Credit_Score]]&gt;=300,Banking_Credit_Risk_Dirty[[#This Row],[Borrower_Credit_Score]]&lt;=850),Banking_Credit_Risk_Dirty[[#This Row],[Borrower_Credit_Score]],"")</f>
        <v>492</v>
      </c>
    </row>
    <row r="658" spans="1:11" x14ac:dyDescent="0.25">
      <c r="A658" s="2" t="s">
        <v>680</v>
      </c>
      <c r="B658" s="2" t="s">
        <v>15</v>
      </c>
      <c r="C658" s="1">
        <v>45367</v>
      </c>
      <c r="D658">
        <v>73354</v>
      </c>
      <c r="E658">
        <v>775</v>
      </c>
      <c r="F658">
        <v>0.34</v>
      </c>
      <c r="G658">
        <v>0</v>
      </c>
      <c r="H658" s="2" t="s">
        <v>12</v>
      </c>
      <c r="I658" s="2" t="s">
        <v>13</v>
      </c>
      <c r="J658">
        <v>29</v>
      </c>
      <c r="K658">
        <f>IF(AND(Banking_Credit_Risk_Dirty[[#This Row],[Borrower_Credit_Score]]&gt;=300,Banking_Credit_Risk_Dirty[[#This Row],[Borrower_Credit_Score]]&lt;=850),Banking_Credit_Risk_Dirty[[#This Row],[Borrower_Credit_Score]],"")</f>
        <v>775</v>
      </c>
    </row>
    <row r="659" spans="1:11" x14ac:dyDescent="0.25">
      <c r="A659" s="2" t="s">
        <v>681</v>
      </c>
      <c r="B659" s="2" t="s">
        <v>21</v>
      </c>
      <c r="C659" s="1">
        <v>45732</v>
      </c>
      <c r="D659">
        <v>98807</v>
      </c>
      <c r="E659">
        <v>582</v>
      </c>
      <c r="F659">
        <v>0.17</v>
      </c>
      <c r="G659">
        <v>0</v>
      </c>
      <c r="H659" s="2" t="s">
        <v>12</v>
      </c>
      <c r="I659" s="2" t="s">
        <v>13</v>
      </c>
      <c r="J659">
        <v>17</v>
      </c>
      <c r="K659">
        <f>IF(AND(Banking_Credit_Risk_Dirty[[#This Row],[Borrower_Credit_Score]]&gt;=300,Banking_Credit_Risk_Dirty[[#This Row],[Borrower_Credit_Score]]&lt;=850),Banking_Credit_Risk_Dirty[[#This Row],[Borrower_Credit_Score]],"")</f>
        <v>582</v>
      </c>
    </row>
    <row r="660" spans="1:11" x14ac:dyDescent="0.25">
      <c r="A660" s="2" t="s">
        <v>682</v>
      </c>
      <c r="B660" s="2" t="s">
        <v>43</v>
      </c>
      <c r="C660" s="1">
        <v>45719</v>
      </c>
      <c r="D660">
        <v>97050</v>
      </c>
      <c r="E660">
        <v>586</v>
      </c>
      <c r="F660">
        <v>0.24</v>
      </c>
      <c r="G660">
        <v>0</v>
      </c>
      <c r="H660" s="2" t="s">
        <v>22</v>
      </c>
      <c r="I660" s="2" t="s">
        <v>17</v>
      </c>
      <c r="J660">
        <v>18</v>
      </c>
      <c r="K660">
        <f>IF(AND(Banking_Credit_Risk_Dirty[[#This Row],[Borrower_Credit_Score]]&gt;=300,Banking_Credit_Risk_Dirty[[#This Row],[Borrower_Credit_Score]]&lt;=850),Banking_Credit_Risk_Dirty[[#This Row],[Borrower_Credit_Score]],"")</f>
        <v>586</v>
      </c>
    </row>
    <row r="661" spans="1:11" x14ac:dyDescent="0.25">
      <c r="A661" s="2" t="s">
        <v>683</v>
      </c>
      <c r="B661" s="2" t="s">
        <v>15</v>
      </c>
      <c r="C661" s="1">
        <v>45961</v>
      </c>
      <c r="D661">
        <v>74989</v>
      </c>
      <c r="E661">
        <v>769</v>
      </c>
      <c r="F661">
        <v>0.3</v>
      </c>
      <c r="G661">
        <v>0</v>
      </c>
      <c r="H661" s="2" t="s">
        <v>19</v>
      </c>
      <c r="I661" s="2" t="s">
        <v>13</v>
      </c>
      <c r="J661">
        <v>10</v>
      </c>
      <c r="K661">
        <f>IF(AND(Banking_Credit_Risk_Dirty[[#This Row],[Borrower_Credit_Score]]&gt;=300,Banking_Credit_Risk_Dirty[[#This Row],[Borrower_Credit_Score]]&lt;=850),Banking_Credit_Risk_Dirty[[#This Row],[Borrower_Credit_Score]],"")</f>
        <v>769</v>
      </c>
    </row>
    <row r="662" spans="1:11" x14ac:dyDescent="0.25">
      <c r="A662" s="2" t="s">
        <v>684</v>
      </c>
      <c r="B662" s="2" t="s">
        <v>43</v>
      </c>
      <c r="C662" s="1">
        <v>45463</v>
      </c>
      <c r="D662">
        <v>77444</v>
      </c>
      <c r="E662">
        <v>611</v>
      </c>
      <c r="F662">
        <v>0.44</v>
      </c>
      <c r="G662">
        <v>0</v>
      </c>
      <c r="H662" s="2" t="s">
        <v>16</v>
      </c>
      <c r="I662" s="2" t="s">
        <v>13</v>
      </c>
      <c r="J662">
        <v>26</v>
      </c>
      <c r="K662">
        <f>IF(AND(Banking_Credit_Risk_Dirty[[#This Row],[Borrower_Credit_Score]]&gt;=300,Banking_Credit_Risk_Dirty[[#This Row],[Borrower_Credit_Score]]&lt;=850),Banking_Credit_Risk_Dirty[[#This Row],[Borrower_Credit_Score]],"")</f>
        <v>611</v>
      </c>
    </row>
    <row r="663" spans="1:11" x14ac:dyDescent="0.25">
      <c r="A663" s="2" t="s">
        <v>685</v>
      </c>
      <c r="B663" s="2" t="s">
        <v>43</v>
      </c>
      <c r="C663" s="1">
        <v>45293</v>
      </c>
      <c r="D663">
        <v>66036</v>
      </c>
      <c r="E663">
        <v>627</v>
      </c>
      <c r="F663">
        <v>0.62</v>
      </c>
      <c r="G663">
        <v>0</v>
      </c>
      <c r="H663" s="2" t="s">
        <v>12</v>
      </c>
      <c r="I663" s="2" t="s">
        <v>17</v>
      </c>
      <c r="J663">
        <v>32</v>
      </c>
      <c r="K663">
        <f>IF(AND(Banking_Credit_Risk_Dirty[[#This Row],[Borrower_Credit_Score]]&gt;=300,Banking_Credit_Risk_Dirty[[#This Row],[Borrower_Credit_Score]]&lt;=850),Banking_Credit_Risk_Dirty[[#This Row],[Borrower_Credit_Score]],"")</f>
        <v>627</v>
      </c>
    </row>
    <row r="664" spans="1:11" x14ac:dyDescent="0.25">
      <c r="A664" s="2" t="s">
        <v>686</v>
      </c>
      <c r="B664" s="2" t="s">
        <v>21</v>
      </c>
      <c r="C664" s="1">
        <v>45681</v>
      </c>
      <c r="D664">
        <v>11394</v>
      </c>
      <c r="E664">
        <v>562</v>
      </c>
      <c r="F664">
        <v>0.63</v>
      </c>
      <c r="G664">
        <v>3</v>
      </c>
      <c r="H664" s="2" t="s">
        <v>22</v>
      </c>
      <c r="I664" s="2" t="s">
        <v>23</v>
      </c>
      <c r="J664">
        <v>19</v>
      </c>
      <c r="K664">
        <f>IF(AND(Banking_Credit_Risk_Dirty[[#This Row],[Borrower_Credit_Score]]&gt;=300,Banking_Credit_Risk_Dirty[[#This Row],[Borrower_Credit_Score]]&lt;=850),Banking_Credit_Risk_Dirty[[#This Row],[Borrower_Credit_Score]],"")</f>
        <v>562</v>
      </c>
    </row>
    <row r="665" spans="1:11" x14ac:dyDescent="0.25">
      <c r="A665" s="2" t="s">
        <v>687</v>
      </c>
      <c r="B665" s="2" t="s">
        <v>43</v>
      </c>
      <c r="C665" s="1">
        <v>45507</v>
      </c>
      <c r="D665">
        <v>34016</v>
      </c>
      <c r="E665">
        <v>804</v>
      </c>
      <c r="F665">
        <v>0.26</v>
      </c>
      <c r="G665">
        <v>0</v>
      </c>
      <c r="H665" s="2" t="s">
        <v>12</v>
      </c>
      <c r="I665" s="2" t="s">
        <v>13</v>
      </c>
      <c r="J665">
        <v>25</v>
      </c>
      <c r="K665">
        <f>IF(AND(Banking_Credit_Risk_Dirty[[#This Row],[Borrower_Credit_Score]]&gt;=300,Banking_Credit_Risk_Dirty[[#This Row],[Borrower_Credit_Score]]&lt;=850),Banking_Credit_Risk_Dirty[[#This Row],[Borrower_Credit_Score]],"")</f>
        <v>804</v>
      </c>
    </row>
    <row r="666" spans="1:11" x14ac:dyDescent="0.25">
      <c r="A666" s="2" t="s">
        <v>688</v>
      </c>
      <c r="B666" s="2" t="s">
        <v>21</v>
      </c>
      <c r="C666" s="1">
        <v>45899</v>
      </c>
      <c r="D666">
        <v>126634</v>
      </c>
      <c r="E666">
        <v>716</v>
      </c>
      <c r="F666">
        <v>0.5</v>
      </c>
      <c r="G666">
        <v>0</v>
      </c>
      <c r="H666" s="2" t="s">
        <v>27</v>
      </c>
      <c r="I666" s="2" t="s">
        <v>13</v>
      </c>
      <c r="J666">
        <v>12</v>
      </c>
      <c r="K666">
        <f>IF(AND(Banking_Credit_Risk_Dirty[[#This Row],[Borrower_Credit_Score]]&gt;=300,Banking_Credit_Risk_Dirty[[#This Row],[Borrower_Credit_Score]]&lt;=850),Banking_Credit_Risk_Dirty[[#This Row],[Borrower_Credit_Score]],"")</f>
        <v>716</v>
      </c>
    </row>
    <row r="667" spans="1:11" x14ac:dyDescent="0.25">
      <c r="A667" s="2" t="s">
        <v>689</v>
      </c>
      <c r="B667" s="2" t="s">
        <v>11</v>
      </c>
      <c r="C667" s="1">
        <v>45335</v>
      </c>
      <c r="D667">
        <v>74698</v>
      </c>
      <c r="E667">
        <v>805</v>
      </c>
      <c r="F667">
        <v>0.23</v>
      </c>
      <c r="G667">
        <v>0</v>
      </c>
      <c r="H667" s="2" t="s">
        <v>41</v>
      </c>
      <c r="I667" s="2" t="s">
        <v>13</v>
      </c>
      <c r="J667">
        <v>30</v>
      </c>
      <c r="K667">
        <f>IF(AND(Banking_Credit_Risk_Dirty[[#This Row],[Borrower_Credit_Score]]&gt;=300,Banking_Credit_Risk_Dirty[[#This Row],[Borrower_Credit_Score]]&lt;=850),Banking_Credit_Risk_Dirty[[#This Row],[Borrower_Credit_Score]],"")</f>
        <v>805</v>
      </c>
    </row>
    <row r="668" spans="1:11" x14ac:dyDescent="0.25">
      <c r="A668" s="2" t="s">
        <v>690</v>
      </c>
      <c r="B668" s="2" t="s">
        <v>21</v>
      </c>
      <c r="C668" s="1">
        <v>45469</v>
      </c>
      <c r="D668">
        <v>147419</v>
      </c>
      <c r="E668">
        <v>692</v>
      </c>
      <c r="F668">
        <v>0.24</v>
      </c>
      <c r="G668">
        <v>0</v>
      </c>
      <c r="H668" s="2" t="s">
        <v>22</v>
      </c>
      <c r="I668" s="2" t="s">
        <v>13</v>
      </c>
      <c r="J668">
        <v>26</v>
      </c>
      <c r="K668">
        <f>IF(AND(Banking_Credit_Risk_Dirty[[#This Row],[Borrower_Credit_Score]]&gt;=300,Banking_Credit_Risk_Dirty[[#This Row],[Borrower_Credit_Score]]&lt;=850),Banking_Credit_Risk_Dirty[[#This Row],[Borrower_Credit_Score]],"")</f>
        <v>692</v>
      </c>
    </row>
    <row r="669" spans="1:11" x14ac:dyDescent="0.25">
      <c r="A669" s="2" t="s">
        <v>691</v>
      </c>
      <c r="B669" s="2" t="s">
        <v>21</v>
      </c>
      <c r="C669" s="1">
        <v>45306</v>
      </c>
      <c r="D669">
        <v>68318</v>
      </c>
      <c r="E669">
        <v>650</v>
      </c>
      <c r="F669">
        <v>0.48</v>
      </c>
      <c r="G669">
        <v>0</v>
      </c>
      <c r="H669" s="2" t="s">
        <v>27</v>
      </c>
      <c r="I669" s="2" t="s">
        <v>13</v>
      </c>
      <c r="J669">
        <v>31</v>
      </c>
      <c r="K669">
        <f>IF(AND(Banking_Credit_Risk_Dirty[[#This Row],[Borrower_Credit_Score]]&gt;=300,Banking_Credit_Risk_Dirty[[#This Row],[Borrower_Credit_Score]]&lt;=850),Banking_Credit_Risk_Dirty[[#This Row],[Borrower_Credit_Score]],"")</f>
        <v>650</v>
      </c>
    </row>
    <row r="670" spans="1:11" x14ac:dyDescent="0.25">
      <c r="A670" s="2" t="s">
        <v>692</v>
      </c>
      <c r="B670" s="2" t="s">
        <v>21</v>
      </c>
      <c r="C670" s="1">
        <v>45737</v>
      </c>
      <c r="D670">
        <v>109894</v>
      </c>
      <c r="E670">
        <v>516</v>
      </c>
      <c r="F670">
        <v>0.27</v>
      </c>
      <c r="G670">
        <v>4</v>
      </c>
      <c r="H670" s="2" t="s">
        <v>19</v>
      </c>
      <c r="I670" s="2" t="s">
        <v>23</v>
      </c>
      <c r="J670">
        <v>17</v>
      </c>
      <c r="K670">
        <f>IF(AND(Banking_Credit_Risk_Dirty[[#This Row],[Borrower_Credit_Score]]&gt;=300,Banking_Credit_Risk_Dirty[[#This Row],[Borrower_Credit_Score]]&lt;=850),Banking_Credit_Risk_Dirty[[#This Row],[Borrower_Credit_Score]],"")</f>
        <v>516</v>
      </c>
    </row>
    <row r="671" spans="1:11" x14ac:dyDescent="0.25">
      <c r="A671" s="2" t="s">
        <v>693</v>
      </c>
      <c r="B671" s="2" t="s">
        <v>15</v>
      </c>
      <c r="C671" s="1">
        <v>45940</v>
      </c>
      <c r="D671">
        <v>135999</v>
      </c>
      <c r="E671">
        <v>575</v>
      </c>
      <c r="F671">
        <v>0.53</v>
      </c>
      <c r="G671">
        <v>0</v>
      </c>
      <c r="H671" s="2" t="s">
        <v>16</v>
      </c>
      <c r="I671" s="2" t="s">
        <v>13</v>
      </c>
      <c r="J671">
        <v>10</v>
      </c>
      <c r="K671">
        <f>IF(AND(Banking_Credit_Risk_Dirty[[#This Row],[Borrower_Credit_Score]]&gt;=300,Banking_Credit_Risk_Dirty[[#This Row],[Borrower_Credit_Score]]&lt;=850),Banking_Credit_Risk_Dirty[[#This Row],[Borrower_Credit_Score]],"")</f>
        <v>575</v>
      </c>
    </row>
    <row r="672" spans="1:11" x14ac:dyDescent="0.25">
      <c r="A672" s="2" t="s">
        <v>694</v>
      </c>
      <c r="B672" s="2" t="s">
        <v>11</v>
      </c>
      <c r="C672" s="1">
        <v>45989</v>
      </c>
      <c r="D672">
        <v>111775</v>
      </c>
      <c r="E672">
        <v>549</v>
      </c>
      <c r="F672">
        <v>0.25</v>
      </c>
      <c r="G672">
        <v>2</v>
      </c>
      <c r="H672" s="2" t="s">
        <v>16</v>
      </c>
      <c r="I672" s="2" t="s">
        <v>23</v>
      </c>
      <c r="J672">
        <v>9</v>
      </c>
      <c r="K672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673" spans="1:11" x14ac:dyDescent="0.25">
      <c r="A673" s="2" t="s">
        <v>695</v>
      </c>
      <c r="B673" s="2" t="s">
        <v>21</v>
      </c>
      <c r="C673" s="1">
        <v>45309</v>
      </c>
      <c r="D673">
        <v>105829</v>
      </c>
      <c r="E673">
        <v>848</v>
      </c>
      <c r="F673">
        <v>0.56000000000000005</v>
      </c>
      <c r="G673">
        <v>0</v>
      </c>
      <c r="H673" s="2" t="s">
        <v>19</v>
      </c>
      <c r="I673" s="2" t="s">
        <v>17</v>
      </c>
      <c r="J673">
        <v>31</v>
      </c>
      <c r="K673">
        <f>IF(AND(Banking_Credit_Risk_Dirty[[#This Row],[Borrower_Credit_Score]]&gt;=300,Banking_Credit_Risk_Dirty[[#This Row],[Borrower_Credit_Score]]&lt;=850),Banking_Credit_Risk_Dirty[[#This Row],[Borrower_Credit_Score]],"")</f>
        <v>848</v>
      </c>
    </row>
    <row r="674" spans="1:11" x14ac:dyDescent="0.25">
      <c r="A674" s="2" t="s">
        <v>696</v>
      </c>
      <c r="B674" s="2" t="s">
        <v>21</v>
      </c>
      <c r="C674" s="1">
        <v>45302</v>
      </c>
      <c r="D674">
        <v>145938</v>
      </c>
      <c r="E674">
        <v>-1</v>
      </c>
      <c r="F674">
        <v>0.19</v>
      </c>
      <c r="G674">
        <v>0</v>
      </c>
      <c r="H674" s="2" t="s">
        <v>41</v>
      </c>
      <c r="I674" s="2" t="s">
        <v>17</v>
      </c>
      <c r="J674">
        <v>31</v>
      </c>
      <c r="K674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675" spans="1:11" x14ac:dyDescent="0.25">
      <c r="A675" s="2" t="s">
        <v>697</v>
      </c>
      <c r="B675" s="2" t="s">
        <v>43</v>
      </c>
      <c r="C675" s="1">
        <v>45772</v>
      </c>
      <c r="D675">
        <v>81643</v>
      </c>
      <c r="E675">
        <v>452</v>
      </c>
      <c r="F675">
        <v>0.46</v>
      </c>
      <c r="G675">
        <v>6</v>
      </c>
      <c r="H675" s="2" t="s">
        <v>19</v>
      </c>
      <c r="I675" s="2" t="s">
        <v>89</v>
      </c>
      <c r="J675">
        <v>16</v>
      </c>
      <c r="K675">
        <f>IF(AND(Banking_Credit_Risk_Dirty[[#This Row],[Borrower_Credit_Score]]&gt;=300,Banking_Credit_Risk_Dirty[[#This Row],[Borrower_Credit_Score]]&lt;=850),Banking_Credit_Risk_Dirty[[#This Row],[Borrower_Credit_Score]],"")</f>
        <v>452</v>
      </c>
    </row>
    <row r="676" spans="1:11" x14ac:dyDescent="0.25">
      <c r="A676" s="2" t="s">
        <v>698</v>
      </c>
      <c r="B676" s="2" t="s">
        <v>21</v>
      </c>
      <c r="C676" s="1">
        <v>45672</v>
      </c>
      <c r="D676">
        <v>97894</v>
      </c>
      <c r="E676">
        <v>675</v>
      </c>
      <c r="F676">
        <v>0.27</v>
      </c>
      <c r="G676">
        <v>0</v>
      </c>
      <c r="H676" s="2" t="s">
        <v>19</v>
      </c>
      <c r="I676" s="2" t="s">
        <v>13</v>
      </c>
      <c r="J676">
        <v>19</v>
      </c>
      <c r="K676">
        <f>IF(AND(Banking_Credit_Risk_Dirty[[#This Row],[Borrower_Credit_Score]]&gt;=300,Banking_Credit_Risk_Dirty[[#This Row],[Borrower_Credit_Score]]&lt;=850),Banking_Credit_Risk_Dirty[[#This Row],[Borrower_Credit_Score]],"")</f>
        <v>675</v>
      </c>
    </row>
    <row r="677" spans="1:11" x14ac:dyDescent="0.25">
      <c r="A677" s="2" t="s">
        <v>699</v>
      </c>
      <c r="B677" s="2" t="s">
        <v>11</v>
      </c>
      <c r="C677" s="1">
        <v>45926</v>
      </c>
      <c r="D677">
        <v>131661</v>
      </c>
      <c r="E677">
        <v>548</v>
      </c>
      <c r="F677">
        <v>0.21</v>
      </c>
      <c r="G677">
        <v>5</v>
      </c>
      <c r="H677" s="2" t="s">
        <v>16</v>
      </c>
      <c r="I677" s="2" t="s">
        <v>17</v>
      </c>
      <c r="J677">
        <v>11</v>
      </c>
      <c r="K677">
        <f>IF(AND(Banking_Credit_Risk_Dirty[[#This Row],[Borrower_Credit_Score]]&gt;=300,Banking_Credit_Risk_Dirty[[#This Row],[Borrower_Credit_Score]]&lt;=850),Banking_Credit_Risk_Dirty[[#This Row],[Borrower_Credit_Score]],"")</f>
        <v>548</v>
      </c>
    </row>
    <row r="678" spans="1:11" x14ac:dyDescent="0.25">
      <c r="A678" s="2" t="s">
        <v>700</v>
      </c>
      <c r="B678" s="2" t="s">
        <v>43</v>
      </c>
      <c r="C678" s="1">
        <v>45545</v>
      </c>
      <c r="D678">
        <v>101476</v>
      </c>
      <c r="E678">
        <v>850</v>
      </c>
      <c r="F678">
        <v>0.5</v>
      </c>
      <c r="G678">
        <v>0</v>
      </c>
      <c r="H678" s="2" t="s">
        <v>12</v>
      </c>
      <c r="I678" s="2" t="s">
        <v>13</v>
      </c>
      <c r="J678">
        <v>23</v>
      </c>
      <c r="K678">
        <f>IF(AND(Banking_Credit_Risk_Dirty[[#This Row],[Borrower_Credit_Score]]&gt;=300,Banking_Credit_Risk_Dirty[[#This Row],[Borrower_Credit_Score]]&lt;=850),Banking_Credit_Risk_Dirty[[#This Row],[Borrower_Credit_Score]],"")</f>
        <v>850</v>
      </c>
    </row>
    <row r="679" spans="1:11" x14ac:dyDescent="0.25">
      <c r="A679" s="2" t="s">
        <v>701</v>
      </c>
      <c r="B679" s="2" t="s">
        <v>15</v>
      </c>
      <c r="C679" s="1">
        <v>45958</v>
      </c>
      <c r="D679">
        <v>44959</v>
      </c>
      <c r="E679">
        <v>538</v>
      </c>
      <c r="F679">
        <v>0.32</v>
      </c>
      <c r="G679">
        <v>5</v>
      </c>
      <c r="H679" s="2" t="s">
        <v>27</v>
      </c>
      <c r="I679" s="2" t="s">
        <v>17</v>
      </c>
      <c r="J679">
        <v>10</v>
      </c>
      <c r="K679">
        <f>IF(AND(Banking_Credit_Risk_Dirty[[#This Row],[Borrower_Credit_Score]]&gt;=300,Banking_Credit_Risk_Dirty[[#This Row],[Borrower_Credit_Score]]&lt;=850),Banking_Credit_Risk_Dirty[[#This Row],[Borrower_Credit_Score]],"")</f>
        <v>538</v>
      </c>
    </row>
    <row r="680" spans="1:11" x14ac:dyDescent="0.25">
      <c r="A680" s="2" t="s">
        <v>702</v>
      </c>
      <c r="B680" s="2" t="s">
        <v>21</v>
      </c>
      <c r="C680" s="1">
        <v>45566</v>
      </c>
      <c r="D680">
        <v>24433</v>
      </c>
      <c r="E680">
        <v>616</v>
      </c>
      <c r="F680">
        <v>0.46</v>
      </c>
      <c r="G680">
        <v>0</v>
      </c>
      <c r="H680" s="2" t="s">
        <v>22</v>
      </c>
      <c r="I680" s="2" t="s">
        <v>13</v>
      </c>
      <c r="J680">
        <v>23</v>
      </c>
      <c r="K680">
        <f>IF(AND(Banking_Credit_Risk_Dirty[[#This Row],[Borrower_Credit_Score]]&gt;=300,Banking_Credit_Risk_Dirty[[#This Row],[Borrower_Credit_Score]]&lt;=850),Banking_Credit_Risk_Dirty[[#This Row],[Borrower_Credit_Score]],"")</f>
        <v>616</v>
      </c>
    </row>
    <row r="681" spans="1:11" x14ac:dyDescent="0.25">
      <c r="A681" s="2" t="s">
        <v>703</v>
      </c>
      <c r="B681" s="2" t="s">
        <v>21</v>
      </c>
      <c r="C681" s="1">
        <v>45427</v>
      </c>
      <c r="D681">
        <v>131276</v>
      </c>
      <c r="E681">
        <v>766</v>
      </c>
      <c r="F681">
        <v>0.19</v>
      </c>
      <c r="G681">
        <v>0</v>
      </c>
      <c r="H681" s="2" t="s">
        <v>19</v>
      </c>
      <c r="I681" s="2" t="s">
        <v>13</v>
      </c>
      <c r="J681">
        <v>27</v>
      </c>
      <c r="K681">
        <f>IF(AND(Banking_Credit_Risk_Dirty[[#This Row],[Borrower_Credit_Score]]&gt;=300,Banking_Credit_Risk_Dirty[[#This Row],[Borrower_Credit_Score]]&lt;=850),Banking_Credit_Risk_Dirty[[#This Row],[Borrower_Credit_Score]],"")</f>
        <v>766</v>
      </c>
    </row>
    <row r="682" spans="1:11" x14ac:dyDescent="0.25">
      <c r="A682" s="2" t="s">
        <v>704</v>
      </c>
      <c r="B682" s="2" t="s">
        <v>21</v>
      </c>
      <c r="C682" s="1">
        <v>45904</v>
      </c>
      <c r="D682">
        <v>109701</v>
      </c>
      <c r="E682">
        <v>625</v>
      </c>
      <c r="F682">
        <v>0.2</v>
      </c>
      <c r="G682">
        <v>1</v>
      </c>
      <c r="H682" s="2" t="s">
        <v>12</v>
      </c>
      <c r="I682" s="2" t="s">
        <v>17</v>
      </c>
      <c r="J682">
        <v>12</v>
      </c>
      <c r="K682">
        <f>IF(AND(Banking_Credit_Risk_Dirty[[#This Row],[Borrower_Credit_Score]]&gt;=300,Banking_Credit_Risk_Dirty[[#This Row],[Borrower_Credit_Score]]&lt;=850),Banking_Credit_Risk_Dirty[[#This Row],[Borrower_Credit_Score]],"")</f>
        <v>625</v>
      </c>
    </row>
    <row r="683" spans="1:11" x14ac:dyDescent="0.25">
      <c r="A683" s="2" t="s">
        <v>705</v>
      </c>
      <c r="B683" s="2" t="s">
        <v>11</v>
      </c>
      <c r="C683" s="1">
        <v>45795</v>
      </c>
      <c r="D683">
        <v>105399</v>
      </c>
      <c r="E683">
        <v>474</v>
      </c>
      <c r="F683">
        <v>0.22</v>
      </c>
      <c r="G683">
        <v>0</v>
      </c>
      <c r="H683" s="2" t="s">
        <v>41</v>
      </c>
      <c r="I683" s="2" t="s">
        <v>13</v>
      </c>
      <c r="J683">
        <v>15</v>
      </c>
      <c r="K683">
        <f>IF(AND(Banking_Credit_Risk_Dirty[[#This Row],[Borrower_Credit_Score]]&gt;=300,Banking_Credit_Risk_Dirty[[#This Row],[Borrower_Credit_Score]]&lt;=850),Banking_Credit_Risk_Dirty[[#This Row],[Borrower_Credit_Score]],"")</f>
        <v>474</v>
      </c>
    </row>
    <row r="684" spans="1:11" x14ac:dyDescent="0.25">
      <c r="A684" s="2" t="s">
        <v>706</v>
      </c>
      <c r="B684" s="2" t="s">
        <v>21</v>
      </c>
      <c r="C684" s="1">
        <v>45337</v>
      </c>
      <c r="D684">
        <v>97714</v>
      </c>
      <c r="E684">
        <v>492</v>
      </c>
      <c r="F684">
        <v>0.28000000000000003</v>
      </c>
      <c r="G684">
        <v>2</v>
      </c>
      <c r="H684" s="2" t="s">
        <v>27</v>
      </c>
      <c r="I684" s="2" t="s">
        <v>23</v>
      </c>
      <c r="J684">
        <v>30</v>
      </c>
      <c r="K684">
        <f>IF(AND(Banking_Credit_Risk_Dirty[[#This Row],[Borrower_Credit_Score]]&gt;=300,Banking_Credit_Risk_Dirty[[#This Row],[Borrower_Credit_Score]]&lt;=850),Banking_Credit_Risk_Dirty[[#This Row],[Borrower_Credit_Score]],"")</f>
        <v>492</v>
      </c>
    </row>
    <row r="685" spans="1:11" x14ac:dyDescent="0.25">
      <c r="A685" s="2" t="s">
        <v>707</v>
      </c>
      <c r="B685" s="2" t="s">
        <v>21</v>
      </c>
      <c r="C685" s="1">
        <v>45888</v>
      </c>
      <c r="D685">
        <v>77671</v>
      </c>
      <c r="E685">
        <v>520</v>
      </c>
      <c r="F685">
        <v>0.22</v>
      </c>
      <c r="G685">
        <v>3</v>
      </c>
      <c r="H685" s="2" t="s">
        <v>16</v>
      </c>
      <c r="I685" s="2" t="s">
        <v>17</v>
      </c>
      <c r="J685">
        <v>12</v>
      </c>
      <c r="K685">
        <f>IF(AND(Banking_Credit_Risk_Dirty[[#This Row],[Borrower_Credit_Score]]&gt;=300,Banking_Credit_Risk_Dirty[[#This Row],[Borrower_Credit_Score]]&lt;=850),Banking_Credit_Risk_Dirty[[#This Row],[Borrower_Credit_Score]],"")</f>
        <v>520</v>
      </c>
    </row>
    <row r="686" spans="1:11" x14ac:dyDescent="0.25">
      <c r="A686" s="2" t="s">
        <v>708</v>
      </c>
      <c r="B686" s="2" t="s">
        <v>15</v>
      </c>
      <c r="C686" s="1">
        <v>45414</v>
      </c>
      <c r="D686">
        <v>28067</v>
      </c>
      <c r="E686">
        <v>789</v>
      </c>
      <c r="F686">
        <v>0.19</v>
      </c>
      <c r="G686">
        <v>6</v>
      </c>
      <c r="H686" s="2" t="s">
        <v>16</v>
      </c>
      <c r="I686" s="2" t="s">
        <v>17</v>
      </c>
      <c r="J686">
        <v>28</v>
      </c>
      <c r="K686">
        <f>IF(AND(Banking_Credit_Risk_Dirty[[#This Row],[Borrower_Credit_Score]]&gt;=300,Banking_Credit_Risk_Dirty[[#This Row],[Borrower_Credit_Score]]&lt;=850),Banking_Credit_Risk_Dirty[[#This Row],[Borrower_Credit_Score]],"")</f>
        <v>789</v>
      </c>
    </row>
    <row r="687" spans="1:11" x14ac:dyDescent="0.25">
      <c r="A687" s="2" t="s">
        <v>709</v>
      </c>
      <c r="B687" s="2" t="s">
        <v>21</v>
      </c>
      <c r="C687" s="1">
        <v>45895</v>
      </c>
      <c r="D687">
        <v>74486</v>
      </c>
      <c r="E687">
        <v>631</v>
      </c>
      <c r="F687">
        <v>0.41</v>
      </c>
      <c r="G687">
        <v>1</v>
      </c>
      <c r="H687" s="2" t="s">
        <v>12</v>
      </c>
      <c r="I687" s="2" t="s">
        <v>23</v>
      </c>
      <c r="J687">
        <v>12</v>
      </c>
      <c r="K687">
        <f>IF(AND(Banking_Credit_Risk_Dirty[[#This Row],[Borrower_Credit_Score]]&gt;=300,Banking_Credit_Risk_Dirty[[#This Row],[Borrower_Credit_Score]]&lt;=850),Banking_Credit_Risk_Dirty[[#This Row],[Borrower_Credit_Score]],"")</f>
        <v>631</v>
      </c>
    </row>
    <row r="688" spans="1:11" x14ac:dyDescent="0.25">
      <c r="A688" s="2" t="s">
        <v>710</v>
      </c>
      <c r="B688" s="2" t="s">
        <v>15</v>
      </c>
      <c r="C688" s="1">
        <v>45525</v>
      </c>
      <c r="D688">
        <v>96948</v>
      </c>
      <c r="E688">
        <v>713</v>
      </c>
      <c r="F688">
        <v>0.4</v>
      </c>
      <c r="G688">
        <v>0</v>
      </c>
      <c r="H688" s="2" t="s">
        <v>12</v>
      </c>
      <c r="I688" s="2" t="s">
        <v>13</v>
      </c>
      <c r="J688">
        <v>24</v>
      </c>
      <c r="K688">
        <f>IF(AND(Banking_Credit_Risk_Dirty[[#This Row],[Borrower_Credit_Score]]&gt;=300,Banking_Credit_Risk_Dirty[[#This Row],[Borrower_Credit_Score]]&lt;=850),Banking_Credit_Risk_Dirty[[#This Row],[Borrower_Credit_Score]],"")</f>
        <v>713</v>
      </c>
    </row>
    <row r="689" spans="1:11" x14ac:dyDescent="0.25">
      <c r="A689" s="2" t="s">
        <v>711</v>
      </c>
      <c r="B689" s="2" t="s">
        <v>11</v>
      </c>
      <c r="C689" s="1">
        <v>45767</v>
      </c>
      <c r="D689">
        <v>120216</v>
      </c>
      <c r="E689">
        <v>748</v>
      </c>
      <c r="F689">
        <v>0.38</v>
      </c>
      <c r="G689">
        <v>4</v>
      </c>
      <c r="H689" s="2" t="s">
        <v>22</v>
      </c>
      <c r="I689" s="2" t="s">
        <v>23</v>
      </c>
      <c r="J689">
        <v>16</v>
      </c>
      <c r="K689">
        <f>IF(AND(Banking_Credit_Risk_Dirty[[#This Row],[Borrower_Credit_Score]]&gt;=300,Banking_Credit_Risk_Dirty[[#This Row],[Borrower_Credit_Score]]&lt;=850),Banking_Credit_Risk_Dirty[[#This Row],[Borrower_Credit_Score]],"")</f>
        <v>748</v>
      </c>
    </row>
    <row r="690" spans="1:11" x14ac:dyDescent="0.25">
      <c r="A690" s="2" t="s">
        <v>712</v>
      </c>
      <c r="B690" s="2" t="s">
        <v>11</v>
      </c>
      <c r="C690" s="1">
        <v>45479</v>
      </c>
      <c r="D690">
        <v>100501</v>
      </c>
      <c r="E690">
        <v>657</v>
      </c>
      <c r="F690">
        <v>0.31</v>
      </c>
      <c r="G690">
        <v>1</v>
      </c>
      <c r="H690" s="2" t="s">
        <v>19</v>
      </c>
      <c r="I690" s="2" t="s">
        <v>17</v>
      </c>
      <c r="J690">
        <v>26</v>
      </c>
      <c r="K690">
        <f>IF(AND(Banking_Credit_Risk_Dirty[[#This Row],[Borrower_Credit_Score]]&gt;=300,Banking_Credit_Risk_Dirty[[#This Row],[Borrower_Credit_Score]]&lt;=850),Banking_Credit_Risk_Dirty[[#This Row],[Borrower_Credit_Score]],"")</f>
        <v>657</v>
      </c>
    </row>
    <row r="691" spans="1:11" x14ac:dyDescent="0.25">
      <c r="A691" s="2" t="s">
        <v>713</v>
      </c>
      <c r="B691" s="2" t="s">
        <v>15</v>
      </c>
      <c r="C691" s="1">
        <v>45518</v>
      </c>
      <c r="D691">
        <v>60820</v>
      </c>
      <c r="E691">
        <v>569</v>
      </c>
      <c r="F691">
        <v>0.25</v>
      </c>
      <c r="G691">
        <v>4</v>
      </c>
      <c r="H691" s="2" t="s">
        <v>12</v>
      </c>
      <c r="I691" s="2" t="s">
        <v>23</v>
      </c>
      <c r="J691">
        <v>24</v>
      </c>
      <c r="K691">
        <f>IF(AND(Banking_Credit_Risk_Dirty[[#This Row],[Borrower_Credit_Score]]&gt;=300,Banking_Credit_Risk_Dirty[[#This Row],[Borrower_Credit_Score]]&lt;=850),Banking_Credit_Risk_Dirty[[#This Row],[Borrower_Credit_Score]],"")</f>
        <v>569</v>
      </c>
    </row>
    <row r="692" spans="1:11" x14ac:dyDescent="0.25">
      <c r="A692" s="2" t="s">
        <v>714</v>
      </c>
      <c r="B692" s="2" t="s">
        <v>15</v>
      </c>
      <c r="C692" s="1">
        <v>45741</v>
      </c>
      <c r="D692">
        <v>15149</v>
      </c>
      <c r="E692">
        <v>644</v>
      </c>
      <c r="F692">
        <v>0.27</v>
      </c>
      <c r="G692">
        <v>0</v>
      </c>
      <c r="H692" s="2" t="s">
        <v>22</v>
      </c>
      <c r="I692" s="2" t="s">
        <v>13</v>
      </c>
      <c r="J692">
        <v>17</v>
      </c>
      <c r="K692">
        <f>IF(AND(Banking_Credit_Risk_Dirty[[#This Row],[Borrower_Credit_Score]]&gt;=300,Banking_Credit_Risk_Dirty[[#This Row],[Borrower_Credit_Score]]&lt;=850),Banking_Credit_Risk_Dirty[[#This Row],[Borrower_Credit_Score]],"")</f>
        <v>644</v>
      </c>
    </row>
    <row r="693" spans="1:11" x14ac:dyDescent="0.25">
      <c r="A693" s="2" t="s">
        <v>715</v>
      </c>
      <c r="B693" s="2" t="s">
        <v>15</v>
      </c>
      <c r="C693" s="1">
        <v>45379</v>
      </c>
      <c r="D693">
        <v>137314</v>
      </c>
      <c r="E693">
        <v>698</v>
      </c>
      <c r="F693">
        <v>0.3</v>
      </c>
      <c r="G693">
        <v>0</v>
      </c>
      <c r="H693" s="2" t="s">
        <v>19</v>
      </c>
      <c r="I693" s="2" t="s">
        <v>13</v>
      </c>
      <c r="J693">
        <v>29</v>
      </c>
      <c r="K693">
        <f>IF(AND(Banking_Credit_Risk_Dirty[[#This Row],[Borrower_Credit_Score]]&gt;=300,Banking_Credit_Risk_Dirty[[#This Row],[Borrower_Credit_Score]]&lt;=850),Banking_Credit_Risk_Dirty[[#This Row],[Borrower_Credit_Score]],"")</f>
        <v>698</v>
      </c>
    </row>
    <row r="694" spans="1:11" x14ac:dyDescent="0.25">
      <c r="A694" s="2" t="s">
        <v>716</v>
      </c>
      <c r="B694" s="2" t="s">
        <v>21</v>
      </c>
      <c r="C694" s="1">
        <v>45622</v>
      </c>
      <c r="D694">
        <v>137353</v>
      </c>
      <c r="E694">
        <v>700</v>
      </c>
      <c r="F694">
        <v>0.19</v>
      </c>
      <c r="G694">
        <v>0</v>
      </c>
      <c r="H694" s="2" t="s">
        <v>19</v>
      </c>
      <c r="I694" s="2" t="s">
        <v>13</v>
      </c>
      <c r="J694">
        <v>21</v>
      </c>
      <c r="K694">
        <f>IF(AND(Banking_Credit_Risk_Dirty[[#This Row],[Borrower_Credit_Score]]&gt;=300,Banking_Credit_Risk_Dirty[[#This Row],[Borrower_Credit_Score]]&lt;=850),Banking_Credit_Risk_Dirty[[#This Row],[Borrower_Credit_Score]],"")</f>
        <v>700</v>
      </c>
    </row>
    <row r="695" spans="1:11" x14ac:dyDescent="0.25">
      <c r="A695" s="2" t="s">
        <v>717</v>
      </c>
      <c r="B695" s="2" t="s">
        <v>11</v>
      </c>
      <c r="C695" s="1">
        <v>45547</v>
      </c>
      <c r="D695">
        <v>17515</v>
      </c>
      <c r="E695">
        <v>651</v>
      </c>
      <c r="F695">
        <v>0.46</v>
      </c>
      <c r="G695">
        <v>0</v>
      </c>
      <c r="H695" s="2" t="s">
        <v>41</v>
      </c>
      <c r="I695" s="2" t="s">
        <v>13</v>
      </c>
      <c r="J695">
        <v>23</v>
      </c>
      <c r="K695">
        <f>IF(AND(Banking_Credit_Risk_Dirty[[#This Row],[Borrower_Credit_Score]]&gt;=300,Banking_Credit_Risk_Dirty[[#This Row],[Borrower_Credit_Score]]&lt;=850),Banking_Credit_Risk_Dirty[[#This Row],[Borrower_Credit_Score]],"")</f>
        <v>651</v>
      </c>
    </row>
    <row r="696" spans="1:11" x14ac:dyDescent="0.25">
      <c r="A696" s="2" t="s">
        <v>718</v>
      </c>
      <c r="B696" s="2" t="s">
        <v>15</v>
      </c>
      <c r="C696" s="1">
        <v>45953</v>
      </c>
      <c r="D696">
        <v>136129</v>
      </c>
      <c r="E696">
        <v>539</v>
      </c>
      <c r="F696">
        <v>0.65</v>
      </c>
      <c r="G696">
        <v>5</v>
      </c>
      <c r="H696" s="2" t="s">
        <v>19</v>
      </c>
      <c r="I696" s="2" t="s">
        <v>89</v>
      </c>
      <c r="J696">
        <v>10</v>
      </c>
      <c r="K696">
        <f>IF(AND(Banking_Credit_Risk_Dirty[[#This Row],[Borrower_Credit_Score]]&gt;=300,Banking_Credit_Risk_Dirty[[#This Row],[Borrower_Credit_Score]]&lt;=850),Banking_Credit_Risk_Dirty[[#This Row],[Borrower_Credit_Score]],"")</f>
        <v>539</v>
      </c>
    </row>
    <row r="697" spans="1:11" x14ac:dyDescent="0.25">
      <c r="A697" s="2" t="s">
        <v>719</v>
      </c>
      <c r="B697" s="2" t="s">
        <v>21</v>
      </c>
      <c r="C697" s="1">
        <v>45738</v>
      </c>
      <c r="D697">
        <v>115568</v>
      </c>
      <c r="E697">
        <v>736</v>
      </c>
      <c r="F697">
        <v>0.63</v>
      </c>
      <c r="G697">
        <v>0</v>
      </c>
      <c r="H697" s="2" t="s">
        <v>22</v>
      </c>
      <c r="I697" s="2" t="s">
        <v>13</v>
      </c>
      <c r="J697">
        <v>17</v>
      </c>
      <c r="K697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698" spans="1:11" x14ac:dyDescent="0.25">
      <c r="A698" s="2" t="s">
        <v>720</v>
      </c>
      <c r="B698" s="2" t="s">
        <v>15</v>
      </c>
      <c r="C698" s="1">
        <v>45409</v>
      </c>
      <c r="D698">
        <v>131560</v>
      </c>
      <c r="E698">
        <v>789</v>
      </c>
      <c r="F698">
        <v>0.57999999999999996</v>
      </c>
      <c r="G698">
        <v>2</v>
      </c>
      <c r="H698" s="2" t="s">
        <v>12</v>
      </c>
      <c r="I698" s="2" t="s">
        <v>17</v>
      </c>
      <c r="J698">
        <v>28</v>
      </c>
      <c r="K698">
        <f>IF(AND(Banking_Credit_Risk_Dirty[[#This Row],[Borrower_Credit_Score]]&gt;=300,Banking_Credit_Risk_Dirty[[#This Row],[Borrower_Credit_Score]]&lt;=850),Banking_Credit_Risk_Dirty[[#This Row],[Borrower_Credit_Score]],"")</f>
        <v>789</v>
      </c>
    </row>
    <row r="699" spans="1:11" x14ac:dyDescent="0.25">
      <c r="A699" s="2" t="s">
        <v>721</v>
      </c>
      <c r="B699" s="2" t="s">
        <v>21</v>
      </c>
      <c r="C699" s="1">
        <v>45662</v>
      </c>
      <c r="D699">
        <v>77890</v>
      </c>
      <c r="E699">
        <v>823</v>
      </c>
      <c r="F699">
        <v>0.52</v>
      </c>
      <c r="G699">
        <v>2</v>
      </c>
      <c r="H699" s="2" t="s">
        <v>19</v>
      </c>
      <c r="I699" s="2" t="s">
        <v>23</v>
      </c>
      <c r="J699">
        <v>20</v>
      </c>
      <c r="K699">
        <f>IF(AND(Banking_Credit_Risk_Dirty[[#This Row],[Borrower_Credit_Score]]&gt;=300,Banking_Credit_Risk_Dirty[[#This Row],[Borrower_Credit_Score]]&lt;=850),Banking_Credit_Risk_Dirty[[#This Row],[Borrower_Credit_Score]],"")</f>
        <v>823</v>
      </c>
    </row>
    <row r="700" spans="1:11" x14ac:dyDescent="0.25">
      <c r="A700" s="2" t="s">
        <v>722</v>
      </c>
      <c r="B700" s="2" t="s">
        <v>43</v>
      </c>
      <c r="C700" s="1">
        <v>45864</v>
      </c>
      <c r="D700">
        <v>15857</v>
      </c>
      <c r="E700">
        <v>491</v>
      </c>
      <c r="F700">
        <v>0.2</v>
      </c>
      <c r="G700">
        <v>0</v>
      </c>
      <c r="H700" s="2" t="s">
        <v>27</v>
      </c>
      <c r="I700" s="2" t="s">
        <v>13</v>
      </c>
      <c r="J700">
        <v>13</v>
      </c>
      <c r="K700">
        <f>IF(AND(Banking_Credit_Risk_Dirty[[#This Row],[Borrower_Credit_Score]]&gt;=300,Banking_Credit_Risk_Dirty[[#This Row],[Borrower_Credit_Score]]&lt;=850),Banking_Credit_Risk_Dirty[[#This Row],[Borrower_Credit_Score]],"")</f>
        <v>491</v>
      </c>
    </row>
    <row r="701" spans="1:11" x14ac:dyDescent="0.25">
      <c r="A701" s="2" t="s">
        <v>723</v>
      </c>
      <c r="B701" s="2" t="s">
        <v>15</v>
      </c>
      <c r="C701" s="1">
        <v>45649</v>
      </c>
      <c r="D701">
        <v>73590</v>
      </c>
      <c r="E701">
        <v>771</v>
      </c>
      <c r="F701">
        <v>0.5</v>
      </c>
      <c r="G701">
        <v>0</v>
      </c>
      <c r="H701" s="2" t="s">
        <v>27</v>
      </c>
      <c r="I701" s="2" t="s">
        <v>13</v>
      </c>
      <c r="J701">
        <v>20</v>
      </c>
      <c r="K701">
        <f>IF(AND(Banking_Credit_Risk_Dirty[[#This Row],[Borrower_Credit_Score]]&gt;=300,Banking_Credit_Risk_Dirty[[#This Row],[Borrower_Credit_Score]]&lt;=850),Banking_Credit_Risk_Dirty[[#This Row],[Borrower_Credit_Score]],"")</f>
        <v>771</v>
      </c>
    </row>
    <row r="702" spans="1:11" x14ac:dyDescent="0.25">
      <c r="A702" s="2" t="s">
        <v>724</v>
      </c>
      <c r="B702" s="2" t="s">
        <v>15</v>
      </c>
      <c r="C702" s="1">
        <v>45756</v>
      </c>
      <c r="D702">
        <v>38682</v>
      </c>
      <c r="E702">
        <v>517</v>
      </c>
      <c r="F702">
        <v>0.39</v>
      </c>
      <c r="G702">
        <v>0</v>
      </c>
      <c r="H702" s="2" t="s">
        <v>12</v>
      </c>
      <c r="I702" s="2" t="s">
        <v>13</v>
      </c>
      <c r="J702">
        <v>17</v>
      </c>
      <c r="K702">
        <f>IF(AND(Banking_Credit_Risk_Dirty[[#This Row],[Borrower_Credit_Score]]&gt;=300,Banking_Credit_Risk_Dirty[[#This Row],[Borrower_Credit_Score]]&lt;=850),Banking_Credit_Risk_Dirty[[#This Row],[Borrower_Credit_Score]],"")</f>
        <v>517</v>
      </c>
    </row>
    <row r="703" spans="1:11" x14ac:dyDescent="0.25">
      <c r="A703" s="2" t="s">
        <v>725</v>
      </c>
      <c r="B703" s="2" t="s">
        <v>21</v>
      </c>
      <c r="C703" s="1">
        <v>45816</v>
      </c>
      <c r="D703">
        <v>26054</v>
      </c>
      <c r="E703">
        <v>827</v>
      </c>
      <c r="F703">
        <v>0.19</v>
      </c>
      <c r="G703">
        <v>0</v>
      </c>
      <c r="H703" s="2" t="s">
        <v>22</v>
      </c>
      <c r="I703" s="2" t="s">
        <v>17</v>
      </c>
      <c r="J703">
        <v>15</v>
      </c>
      <c r="K703">
        <f>IF(AND(Banking_Credit_Risk_Dirty[[#This Row],[Borrower_Credit_Score]]&gt;=300,Banking_Credit_Risk_Dirty[[#This Row],[Borrower_Credit_Score]]&lt;=850),Banking_Credit_Risk_Dirty[[#This Row],[Borrower_Credit_Score]],"")</f>
        <v>827</v>
      </c>
    </row>
    <row r="704" spans="1:11" x14ac:dyDescent="0.25">
      <c r="A704" s="2" t="s">
        <v>726</v>
      </c>
      <c r="B704" s="2" t="s">
        <v>15</v>
      </c>
      <c r="C704" s="1">
        <v>45597</v>
      </c>
      <c r="D704">
        <v>129311</v>
      </c>
      <c r="E704">
        <v>799</v>
      </c>
      <c r="F704">
        <v>0.54</v>
      </c>
      <c r="G704">
        <v>0</v>
      </c>
      <c r="H704" s="2" t="s">
        <v>12</v>
      </c>
      <c r="I704" s="2" t="s">
        <v>13</v>
      </c>
      <c r="J704">
        <v>22</v>
      </c>
      <c r="K704">
        <f>IF(AND(Banking_Credit_Risk_Dirty[[#This Row],[Borrower_Credit_Score]]&gt;=300,Banking_Credit_Risk_Dirty[[#This Row],[Borrower_Credit_Score]]&lt;=850),Banking_Credit_Risk_Dirty[[#This Row],[Borrower_Credit_Score]],"")</f>
        <v>799</v>
      </c>
    </row>
    <row r="705" spans="1:11" x14ac:dyDescent="0.25">
      <c r="A705" s="2" t="s">
        <v>727</v>
      </c>
      <c r="B705" s="2" t="s">
        <v>21</v>
      </c>
      <c r="C705" s="1">
        <v>45766</v>
      </c>
      <c r="D705">
        <v>14485</v>
      </c>
      <c r="E705">
        <v>714</v>
      </c>
      <c r="F705">
        <v>0.5</v>
      </c>
      <c r="G705">
        <v>0</v>
      </c>
      <c r="H705" s="2" t="s">
        <v>19</v>
      </c>
      <c r="I705" s="2" t="s">
        <v>23</v>
      </c>
      <c r="J705">
        <v>16</v>
      </c>
      <c r="K705">
        <f>IF(AND(Banking_Credit_Risk_Dirty[[#This Row],[Borrower_Credit_Score]]&gt;=300,Banking_Credit_Risk_Dirty[[#This Row],[Borrower_Credit_Score]]&lt;=850),Banking_Credit_Risk_Dirty[[#This Row],[Borrower_Credit_Score]],"")</f>
        <v>714</v>
      </c>
    </row>
    <row r="706" spans="1:11" x14ac:dyDescent="0.25">
      <c r="A706" s="2" t="s">
        <v>728</v>
      </c>
      <c r="B706" s="2" t="s">
        <v>15</v>
      </c>
      <c r="C706" s="1">
        <v>45531</v>
      </c>
      <c r="D706">
        <v>31730</v>
      </c>
      <c r="E706">
        <v>605</v>
      </c>
      <c r="F706">
        <v>0.54</v>
      </c>
      <c r="G706">
        <v>0</v>
      </c>
      <c r="H706" s="2" t="s">
        <v>16</v>
      </c>
      <c r="I706" s="2" t="s">
        <v>13</v>
      </c>
      <c r="J706">
        <v>24</v>
      </c>
      <c r="K706">
        <f>IF(AND(Banking_Credit_Risk_Dirty[[#This Row],[Borrower_Credit_Score]]&gt;=300,Banking_Credit_Risk_Dirty[[#This Row],[Borrower_Credit_Score]]&lt;=850),Banking_Credit_Risk_Dirty[[#This Row],[Borrower_Credit_Score]],"")</f>
        <v>605</v>
      </c>
    </row>
    <row r="707" spans="1:11" x14ac:dyDescent="0.25">
      <c r="A707" s="2" t="s">
        <v>729</v>
      </c>
      <c r="B707" s="2" t="s">
        <v>43</v>
      </c>
      <c r="C707" s="1">
        <v>45419</v>
      </c>
      <c r="D707">
        <v>38683</v>
      </c>
      <c r="E707">
        <v>782</v>
      </c>
      <c r="F707">
        <v>0.42</v>
      </c>
      <c r="G707">
        <v>2</v>
      </c>
      <c r="H707" s="2" t="s">
        <v>19</v>
      </c>
      <c r="I707" s="2" t="s">
        <v>23</v>
      </c>
      <c r="J707">
        <v>28</v>
      </c>
      <c r="K707">
        <f>IF(AND(Banking_Credit_Risk_Dirty[[#This Row],[Borrower_Credit_Score]]&gt;=300,Banking_Credit_Risk_Dirty[[#This Row],[Borrower_Credit_Score]]&lt;=850),Banking_Credit_Risk_Dirty[[#This Row],[Borrower_Credit_Score]],"")</f>
        <v>782</v>
      </c>
    </row>
    <row r="708" spans="1:11" x14ac:dyDescent="0.25">
      <c r="A708" s="2" t="s">
        <v>730</v>
      </c>
      <c r="B708" s="2" t="s">
        <v>15</v>
      </c>
      <c r="C708" s="1">
        <v>45394</v>
      </c>
      <c r="D708">
        <v>64588</v>
      </c>
      <c r="E708">
        <v>485</v>
      </c>
      <c r="F708">
        <v>0.42</v>
      </c>
      <c r="G708">
        <v>4</v>
      </c>
      <c r="H708" s="2" t="s">
        <v>27</v>
      </c>
      <c r="I708" s="2" t="s">
        <v>23</v>
      </c>
      <c r="J708">
        <v>28</v>
      </c>
      <c r="K708">
        <f>IF(AND(Banking_Credit_Risk_Dirty[[#This Row],[Borrower_Credit_Score]]&gt;=300,Banking_Credit_Risk_Dirty[[#This Row],[Borrower_Credit_Score]]&lt;=850),Banking_Credit_Risk_Dirty[[#This Row],[Borrower_Credit_Score]],"")</f>
        <v>485</v>
      </c>
    </row>
    <row r="709" spans="1:11" x14ac:dyDescent="0.25">
      <c r="A709" s="2" t="s">
        <v>731</v>
      </c>
      <c r="B709" s="2" t="s">
        <v>21</v>
      </c>
      <c r="C709" s="1">
        <v>45292</v>
      </c>
      <c r="D709">
        <v>122139</v>
      </c>
      <c r="E709">
        <v>805</v>
      </c>
      <c r="F709">
        <v>0.19</v>
      </c>
      <c r="G709">
        <v>2</v>
      </c>
      <c r="H709" s="2" t="s">
        <v>12</v>
      </c>
      <c r="I709" s="2" t="s">
        <v>23</v>
      </c>
      <c r="J709">
        <v>32</v>
      </c>
      <c r="K709">
        <f>IF(AND(Banking_Credit_Risk_Dirty[[#This Row],[Borrower_Credit_Score]]&gt;=300,Banking_Credit_Risk_Dirty[[#This Row],[Borrower_Credit_Score]]&lt;=850),Banking_Credit_Risk_Dirty[[#This Row],[Borrower_Credit_Score]],"")</f>
        <v>805</v>
      </c>
    </row>
    <row r="710" spans="1:11" x14ac:dyDescent="0.25">
      <c r="A710" s="2" t="s">
        <v>732</v>
      </c>
      <c r="B710" s="2" t="s">
        <v>21</v>
      </c>
      <c r="C710" s="1">
        <v>45426</v>
      </c>
      <c r="D710">
        <v>41226</v>
      </c>
      <c r="E710">
        <v>678</v>
      </c>
      <c r="F710">
        <v>0.53</v>
      </c>
      <c r="G710">
        <v>5</v>
      </c>
      <c r="H710" s="2" t="s">
        <v>16</v>
      </c>
      <c r="I710" s="2" t="s">
        <v>17</v>
      </c>
      <c r="J710">
        <v>27</v>
      </c>
      <c r="K710">
        <f>IF(AND(Banking_Credit_Risk_Dirty[[#This Row],[Borrower_Credit_Score]]&gt;=300,Banking_Credit_Risk_Dirty[[#This Row],[Borrower_Credit_Score]]&lt;=850),Banking_Credit_Risk_Dirty[[#This Row],[Borrower_Credit_Score]],"")</f>
        <v>678</v>
      </c>
    </row>
    <row r="711" spans="1:11" x14ac:dyDescent="0.25">
      <c r="A711" s="2" t="s">
        <v>733</v>
      </c>
      <c r="B711" s="2" t="s">
        <v>21</v>
      </c>
      <c r="C711" s="1">
        <v>45373</v>
      </c>
      <c r="D711">
        <v>73593</v>
      </c>
      <c r="E711">
        <v>748</v>
      </c>
      <c r="F711">
        <v>0.26</v>
      </c>
      <c r="G711">
        <v>5</v>
      </c>
      <c r="H711" s="2" t="s">
        <v>12</v>
      </c>
      <c r="I711" s="2" t="s">
        <v>23</v>
      </c>
      <c r="J711">
        <v>29</v>
      </c>
      <c r="K711">
        <f>IF(AND(Banking_Credit_Risk_Dirty[[#This Row],[Borrower_Credit_Score]]&gt;=300,Banking_Credit_Risk_Dirty[[#This Row],[Borrower_Credit_Score]]&lt;=850),Banking_Credit_Risk_Dirty[[#This Row],[Borrower_Credit_Score]],"")</f>
        <v>748</v>
      </c>
    </row>
    <row r="712" spans="1:11" x14ac:dyDescent="0.25">
      <c r="A712" s="2" t="s">
        <v>734</v>
      </c>
      <c r="B712" s="2" t="s">
        <v>21</v>
      </c>
      <c r="C712" s="1">
        <v>45494</v>
      </c>
      <c r="D712">
        <v>43161</v>
      </c>
      <c r="E712">
        <v>557</v>
      </c>
      <c r="F712">
        <v>0.28000000000000003</v>
      </c>
      <c r="G712">
        <v>0</v>
      </c>
      <c r="H712" s="2" t="s">
        <v>12</v>
      </c>
      <c r="I712" s="2" t="s">
        <v>13</v>
      </c>
      <c r="J712">
        <v>25</v>
      </c>
      <c r="K712">
        <f>IF(AND(Banking_Credit_Risk_Dirty[[#This Row],[Borrower_Credit_Score]]&gt;=300,Banking_Credit_Risk_Dirty[[#This Row],[Borrower_Credit_Score]]&lt;=850),Banking_Credit_Risk_Dirty[[#This Row],[Borrower_Credit_Score]],"")</f>
        <v>557</v>
      </c>
    </row>
    <row r="713" spans="1:11" x14ac:dyDescent="0.25">
      <c r="A713" s="2" t="s">
        <v>735</v>
      </c>
      <c r="B713" s="2" t="s">
        <v>21</v>
      </c>
      <c r="C713" s="1">
        <v>45520</v>
      </c>
      <c r="D713">
        <v>14326</v>
      </c>
      <c r="E713">
        <v>713</v>
      </c>
      <c r="F713">
        <v>0.61</v>
      </c>
      <c r="G713">
        <v>0</v>
      </c>
      <c r="H713" s="2" t="s">
        <v>12</v>
      </c>
      <c r="I713" s="2" t="s">
        <v>13</v>
      </c>
      <c r="J713">
        <v>24</v>
      </c>
      <c r="K713">
        <f>IF(AND(Banking_Credit_Risk_Dirty[[#This Row],[Borrower_Credit_Score]]&gt;=300,Banking_Credit_Risk_Dirty[[#This Row],[Borrower_Credit_Score]]&lt;=850),Banking_Credit_Risk_Dirty[[#This Row],[Borrower_Credit_Score]],"")</f>
        <v>713</v>
      </c>
    </row>
    <row r="714" spans="1:11" x14ac:dyDescent="0.25">
      <c r="A714" s="2" t="s">
        <v>736</v>
      </c>
      <c r="B714" s="2" t="s">
        <v>15</v>
      </c>
      <c r="C714" s="1">
        <v>45340</v>
      </c>
      <c r="D714">
        <v>7872</v>
      </c>
      <c r="E714">
        <v>750</v>
      </c>
      <c r="F714">
        <v>0.54</v>
      </c>
      <c r="G714">
        <v>0</v>
      </c>
      <c r="H714" s="2" t="s">
        <v>16</v>
      </c>
      <c r="I714" s="2" t="s">
        <v>13</v>
      </c>
      <c r="J714">
        <v>30</v>
      </c>
      <c r="K714">
        <f>IF(AND(Banking_Credit_Risk_Dirty[[#This Row],[Borrower_Credit_Score]]&gt;=300,Banking_Credit_Risk_Dirty[[#This Row],[Borrower_Credit_Score]]&lt;=850),Banking_Credit_Risk_Dirty[[#This Row],[Borrower_Credit_Score]],"")</f>
        <v>750</v>
      </c>
    </row>
    <row r="715" spans="1:11" x14ac:dyDescent="0.25">
      <c r="A715" s="2" t="s">
        <v>737</v>
      </c>
      <c r="B715" s="2" t="s">
        <v>15</v>
      </c>
      <c r="C715" s="1">
        <v>45557</v>
      </c>
      <c r="D715">
        <v>45094</v>
      </c>
      <c r="E715">
        <v>633</v>
      </c>
      <c r="F715">
        <v>0.31</v>
      </c>
      <c r="G715">
        <v>0</v>
      </c>
      <c r="H715" s="2" t="s">
        <v>19</v>
      </c>
      <c r="I715" s="2" t="s">
        <v>17</v>
      </c>
      <c r="J715">
        <v>23</v>
      </c>
      <c r="K715">
        <f>IF(AND(Banking_Credit_Risk_Dirty[[#This Row],[Borrower_Credit_Score]]&gt;=300,Banking_Credit_Risk_Dirty[[#This Row],[Borrower_Credit_Score]]&lt;=850),Banking_Credit_Risk_Dirty[[#This Row],[Borrower_Credit_Score]],"")</f>
        <v>633</v>
      </c>
    </row>
    <row r="716" spans="1:11" x14ac:dyDescent="0.25">
      <c r="A716" s="2" t="s">
        <v>738</v>
      </c>
      <c r="B716" s="2" t="s">
        <v>43</v>
      </c>
      <c r="C716" s="1">
        <v>45904</v>
      </c>
      <c r="D716">
        <v>100376</v>
      </c>
      <c r="E716">
        <v>843</v>
      </c>
      <c r="F716">
        <v>0.65</v>
      </c>
      <c r="G716">
        <v>0</v>
      </c>
      <c r="H716" s="2" t="s">
        <v>16</v>
      </c>
      <c r="I716" s="2" t="s">
        <v>13</v>
      </c>
      <c r="J716">
        <v>12</v>
      </c>
      <c r="K716">
        <f>IF(AND(Banking_Credit_Risk_Dirty[[#This Row],[Borrower_Credit_Score]]&gt;=300,Banking_Credit_Risk_Dirty[[#This Row],[Borrower_Credit_Score]]&lt;=850),Banking_Credit_Risk_Dirty[[#This Row],[Borrower_Credit_Score]],"")</f>
        <v>843</v>
      </c>
    </row>
    <row r="717" spans="1:11" x14ac:dyDescent="0.25">
      <c r="A717" s="2" t="s">
        <v>739</v>
      </c>
      <c r="B717" s="2" t="s">
        <v>15</v>
      </c>
      <c r="C717" s="1">
        <v>45984</v>
      </c>
      <c r="D717">
        <v>34028</v>
      </c>
      <c r="E717">
        <v>804</v>
      </c>
      <c r="F717">
        <v>0.4</v>
      </c>
      <c r="G717">
        <v>0</v>
      </c>
      <c r="H717" s="2" t="s">
        <v>16</v>
      </c>
      <c r="I717" s="2" t="s">
        <v>23</v>
      </c>
      <c r="J717">
        <v>9</v>
      </c>
      <c r="K717">
        <f>IF(AND(Banking_Credit_Risk_Dirty[[#This Row],[Borrower_Credit_Score]]&gt;=300,Banking_Credit_Risk_Dirty[[#This Row],[Borrower_Credit_Score]]&lt;=850),Banking_Credit_Risk_Dirty[[#This Row],[Borrower_Credit_Score]],"")</f>
        <v>804</v>
      </c>
    </row>
    <row r="718" spans="1:11" x14ac:dyDescent="0.25">
      <c r="A718" s="2" t="s">
        <v>740</v>
      </c>
      <c r="B718" s="2" t="s">
        <v>15</v>
      </c>
      <c r="C718" s="1">
        <v>45452</v>
      </c>
      <c r="D718">
        <v>146392</v>
      </c>
      <c r="E718">
        <v>540</v>
      </c>
      <c r="F718">
        <v>0.22</v>
      </c>
      <c r="G718">
        <v>0</v>
      </c>
      <c r="H718" s="2" t="s">
        <v>22</v>
      </c>
      <c r="I718" s="2" t="s">
        <v>13</v>
      </c>
      <c r="J718">
        <v>27</v>
      </c>
      <c r="K718">
        <f>IF(AND(Banking_Credit_Risk_Dirty[[#This Row],[Borrower_Credit_Score]]&gt;=300,Banking_Credit_Risk_Dirty[[#This Row],[Borrower_Credit_Score]]&lt;=850),Banking_Credit_Risk_Dirty[[#This Row],[Borrower_Credit_Score]],"")</f>
        <v>540</v>
      </c>
    </row>
    <row r="719" spans="1:11" x14ac:dyDescent="0.25">
      <c r="A719" s="2" t="s">
        <v>741</v>
      </c>
      <c r="B719" s="2" t="s">
        <v>21</v>
      </c>
      <c r="C719" s="1">
        <v>45784</v>
      </c>
      <c r="D719">
        <v>84449</v>
      </c>
      <c r="E719">
        <v>824</v>
      </c>
      <c r="F719">
        <v>0.52</v>
      </c>
      <c r="G719">
        <v>0</v>
      </c>
      <c r="H719" s="2" t="s">
        <v>19</v>
      </c>
      <c r="I719" s="2" t="s">
        <v>13</v>
      </c>
      <c r="J719">
        <v>16</v>
      </c>
      <c r="K719">
        <f>IF(AND(Banking_Credit_Risk_Dirty[[#This Row],[Borrower_Credit_Score]]&gt;=300,Banking_Credit_Risk_Dirty[[#This Row],[Borrower_Credit_Score]]&lt;=850),Banking_Credit_Risk_Dirty[[#This Row],[Borrower_Credit_Score]],"")</f>
        <v>824</v>
      </c>
    </row>
    <row r="720" spans="1:11" x14ac:dyDescent="0.25">
      <c r="A720" s="2" t="s">
        <v>742</v>
      </c>
      <c r="B720" s="2" t="s">
        <v>11</v>
      </c>
      <c r="C720" s="1">
        <v>45637</v>
      </c>
      <c r="D720">
        <v>138609</v>
      </c>
      <c r="E720">
        <v>552</v>
      </c>
      <c r="F720">
        <v>0.56999999999999995</v>
      </c>
      <c r="G720">
        <v>2</v>
      </c>
      <c r="H720" s="2" t="s">
        <v>12</v>
      </c>
      <c r="I720" s="2" t="s">
        <v>23</v>
      </c>
      <c r="J720">
        <v>20</v>
      </c>
      <c r="K720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721" spans="1:11" x14ac:dyDescent="0.25">
      <c r="A721" s="2" t="s">
        <v>743</v>
      </c>
      <c r="B721" s="2" t="s">
        <v>15</v>
      </c>
      <c r="C721" s="1">
        <v>45612</v>
      </c>
      <c r="D721">
        <v>38296</v>
      </c>
      <c r="E721">
        <v>610</v>
      </c>
      <c r="F721">
        <v>0.27</v>
      </c>
      <c r="G721">
        <v>0</v>
      </c>
      <c r="H721" s="2" t="s">
        <v>41</v>
      </c>
      <c r="I721" s="2" t="s">
        <v>13</v>
      </c>
      <c r="J721">
        <v>21</v>
      </c>
      <c r="K721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722" spans="1:11" x14ac:dyDescent="0.25">
      <c r="A722" s="2" t="s">
        <v>744</v>
      </c>
      <c r="B722" s="2" t="s">
        <v>11</v>
      </c>
      <c r="C722" s="1">
        <v>45327</v>
      </c>
      <c r="D722">
        <v>104344</v>
      </c>
      <c r="E722">
        <v>680</v>
      </c>
      <c r="F722">
        <v>0.61</v>
      </c>
      <c r="G722">
        <v>0</v>
      </c>
      <c r="H722" s="2" t="s">
        <v>12</v>
      </c>
      <c r="I722" s="2" t="s">
        <v>13</v>
      </c>
      <c r="J722">
        <v>31</v>
      </c>
      <c r="K722">
        <f>IF(AND(Banking_Credit_Risk_Dirty[[#This Row],[Borrower_Credit_Score]]&gt;=300,Banking_Credit_Risk_Dirty[[#This Row],[Borrower_Credit_Score]]&lt;=850),Banking_Credit_Risk_Dirty[[#This Row],[Borrower_Credit_Score]],"")</f>
        <v>680</v>
      </c>
    </row>
    <row r="723" spans="1:11" x14ac:dyDescent="0.25">
      <c r="A723" s="2" t="s">
        <v>745</v>
      </c>
      <c r="B723" s="2" t="s">
        <v>11</v>
      </c>
      <c r="C723" s="1">
        <v>45327</v>
      </c>
      <c r="D723">
        <v>65680</v>
      </c>
      <c r="E723">
        <v>626</v>
      </c>
      <c r="F723">
        <v>0.37</v>
      </c>
      <c r="G723">
        <v>0</v>
      </c>
      <c r="H723" s="2" t="s">
        <v>16</v>
      </c>
      <c r="I723" s="2" t="s">
        <v>13</v>
      </c>
      <c r="J723">
        <v>31</v>
      </c>
      <c r="K723">
        <f>IF(AND(Banking_Credit_Risk_Dirty[[#This Row],[Borrower_Credit_Score]]&gt;=300,Banking_Credit_Risk_Dirty[[#This Row],[Borrower_Credit_Score]]&lt;=850),Banking_Credit_Risk_Dirty[[#This Row],[Borrower_Credit_Score]],"")</f>
        <v>626</v>
      </c>
    </row>
    <row r="724" spans="1:11" x14ac:dyDescent="0.25">
      <c r="A724" s="2" t="s">
        <v>746</v>
      </c>
      <c r="B724" s="2" t="s">
        <v>21</v>
      </c>
      <c r="C724" s="1">
        <v>45825</v>
      </c>
      <c r="D724">
        <v>111895</v>
      </c>
      <c r="E724">
        <v>665</v>
      </c>
      <c r="F724">
        <v>0.45</v>
      </c>
      <c r="G724">
        <v>2</v>
      </c>
      <c r="H724" s="2" t="s">
        <v>16</v>
      </c>
      <c r="I724" s="2" t="s">
        <v>23</v>
      </c>
      <c r="J724">
        <v>14</v>
      </c>
      <c r="K724">
        <f>IF(AND(Banking_Credit_Risk_Dirty[[#This Row],[Borrower_Credit_Score]]&gt;=300,Banking_Credit_Risk_Dirty[[#This Row],[Borrower_Credit_Score]]&lt;=850),Banking_Credit_Risk_Dirty[[#This Row],[Borrower_Credit_Score]],"")</f>
        <v>665</v>
      </c>
    </row>
    <row r="725" spans="1:11" x14ac:dyDescent="0.25">
      <c r="A725" s="2" t="s">
        <v>747</v>
      </c>
      <c r="B725" s="2" t="s">
        <v>21</v>
      </c>
      <c r="C725" s="1">
        <v>45611</v>
      </c>
      <c r="D725">
        <v>148780</v>
      </c>
      <c r="E725">
        <v>534</v>
      </c>
      <c r="F725">
        <v>0.62</v>
      </c>
      <c r="G725">
        <v>3</v>
      </c>
      <c r="H725" s="2" t="s">
        <v>41</v>
      </c>
      <c r="I725" s="2" t="s">
        <v>89</v>
      </c>
      <c r="J725">
        <v>21</v>
      </c>
      <c r="K725">
        <f>IF(AND(Banking_Credit_Risk_Dirty[[#This Row],[Borrower_Credit_Score]]&gt;=300,Banking_Credit_Risk_Dirty[[#This Row],[Borrower_Credit_Score]]&lt;=850),Banking_Credit_Risk_Dirty[[#This Row],[Borrower_Credit_Score]],"")</f>
        <v>534</v>
      </c>
    </row>
    <row r="726" spans="1:11" x14ac:dyDescent="0.25">
      <c r="A726" s="2" t="s">
        <v>748</v>
      </c>
      <c r="B726" s="2" t="s">
        <v>15</v>
      </c>
      <c r="C726" s="1">
        <v>45583</v>
      </c>
      <c r="D726">
        <v>23532</v>
      </c>
      <c r="E726">
        <v>663</v>
      </c>
      <c r="F726">
        <v>0.35</v>
      </c>
      <c r="G726">
        <v>0</v>
      </c>
      <c r="H726" s="2" t="s">
        <v>22</v>
      </c>
      <c r="I726" s="2" t="s">
        <v>13</v>
      </c>
      <c r="J726">
        <v>22</v>
      </c>
      <c r="K726">
        <f>IF(AND(Banking_Credit_Risk_Dirty[[#This Row],[Borrower_Credit_Score]]&gt;=300,Banking_Credit_Risk_Dirty[[#This Row],[Borrower_Credit_Score]]&lt;=850),Banking_Credit_Risk_Dirty[[#This Row],[Borrower_Credit_Score]],"")</f>
        <v>663</v>
      </c>
    </row>
    <row r="727" spans="1:11" x14ac:dyDescent="0.25">
      <c r="A727" s="2" t="s">
        <v>749</v>
      </c>
      <c r="B727" s="2" t="s">
        <v>21</v>
      </c>
      <c r="C727" s="1">
        <v>45910</v>
      </c>
      <c r="D727">
        <v>22661</v>
      </c>
      <c r="E727">
        <v>674</v>
      </c>
      <c r="F727">
        <v>0.53</v>
      </c>
      <c r="G727">
        <v>3</v>
      </c>
      <c r="H727" s="2" t="s">
        <v>19</v>
      </c>
      <c r="I727" s="2" t="s">
        <v>23</v>
      </c>
      <c r="J727">
        <v>11</v>
      </c>
      <c r="K727">
        <f>IF(AND(Banking_Credit_Risk_Dirty[[#This Row],[Borrower_Credit_Score]]&gt;=300,Banking_Credit_Risk_Dirty[[#This Row],[Borrower_Credit_Score]]&lt;=850),Banking_Credit_Risk_Dirty[[#This Row],[Borrower_Credit_Score]],"")</f>
        <v>674</v>
      </c>
    </row>
    <row r="728" spans="1:11" x14ac:dyDescent="0.25">
      <c r="A728" s="2" t="s">
        <v>750</v>
      </c>
      <c r="B728" s="2" t="s">
        <v>21</v>
      </c>
      <c r="C728" s="1">
        <v>45923</v>
      </c>
      <c r="D728">
        <v>108597</v>
      </c>
      <c r="E728">
        <v>710</v>
      </c>
      <c r="F728">
        <v>0.5</v>
      </c>
      <c r="G728">
        <v>0</v>
      </c>
      <c r="H728" s="2" t="s">
        <v>41</v>
      </c>
      <c r="I728" s="2" t="s">
        <v>13</v>
      </c>
      <c r="J728">
        <v>11</v>
      </c>
      <c r="K728">
        <f>IF(AND(Banking_Credit_Risk_Dirty[[#This Row],[Borrower_Credit_Score]]&gt;=300,Banking_Credit_Risk_Dirty[[#This Row],[Borrower_Credit_Score]]&lt;=850),Banking_Credit_Risk_Dirty[[#This Row],[Borrower_Credit_Score]],"")</f>
        <v>710</v>
      </c>
    </row>
    <row r="729" spans="1:11" x14ac:dyDescent="0.25">
      <c r="A729" s="2" t="s">
        <v>751</v>
      </c>
      <c r="B729" s="2" t="s">
        <v>21</v>
      </c>
      <c r="C729" s="1">
        <v>45647</v>
      </c>
      <c r="D729">
        <v>92511</v>
      </c>
      <c r="E729">
        <v>765</v>
      </c>
      <c r="F729">
        <v>0.22</v>
      </c>
      <c r="G729">
        <v>4</v>
      </c>
      <c r="H729" s="2" t="s">
        <v>19</v>
      </c>
      <c r="I729" s="2" t="s">
        <v>23</v>
      </c>
      <c r="J729">
        <v>20</v>
      </c>
      <c r="K729">
        <f>IF(AND(Banking_Credit_Risk_Dirty[[#This Row],[Borrower_Credit_Score]]&gt;=300,Banking_Credit_Risk_Dirty[[#This Row],[Borrower_Credit_Score]]&lt;=850),Banking_Credit_Risk_Dirty[[#This Row],[Borrower_Credit_Score]],"")</f>
        <v>765</v>
      </c>
    </row>
    <row r="730" spans="1:11" x14ac:dyDescent="0.25">
      <c r="A730" s="2" t="s">
        <v>752</v>
      </c>
      <c r="B730" s="2" t="s">
        <v>11</v>
      </c>
      <c r="C730" s="1">
        <v>45610</v>
      </c>
      <c r="D730">
        <v>113354</v>
      </c>
      <c r="E730">
        <v>786</v>
      </c>
      <c r="F730">
        <v>0.57999999999999996</v>
      </c>
      <c r="G730">
        <v>0</v>
      </c>
      <c r="H730" s="2" t="s">
        <v>41</v>
      </c>
      <c r="I730" s="2" t="s">
        <v>13</v>
      </c>
      <c r="J730">
        <v>21</v>
      </c>
      <c r="K730">
        <f>IF(AND(Banking_Credit_Risk_Dirty[[#This Row],[Borrower_Credit_Score]]&gt;=300,Banking_Credit_Risk_Dirty[[#This Row],[Borrower_Credit_Score]]&lt;=850),Banking_Credit_Risk_Dirty[[#This Row],[Borrower_Credit_Score]],"")</f>
        <v>786</v>
      </c>
    </row>
    <row r="731" spans="1:11" x14ac:dyDescent="0.25">
      <c r="A731" s="2" t="s">
        <v>753</v>
      </c>
      <c r="B731" s="2" t="s">
        <v>43</v>
      </c>
      <c r="C731" s="1">
        <v>45638</v>
      </c>
      <c r="D731">
        <v>129726</v>
      </c>
      <c r="E731">
        <v>745</v>
      </c>
      <c r="F731">
        <v>0.28999999999999998</v>
      </c>
      <c r="G731">
        <v>0</v>
      </c>
      <c r="H731" s="2" t="s">
        <v>41</v>
      </c>
      <c r="I731" s="2" t="s">
        <v>17</v>
      </c>
      <c r="J731">
        <v>20</v>
      </c>
      <c r="K731">
        <f>IF(AND(Banking_Credit_Risk_Dirty[[#This Row],[Borrower_Credit_Score]]&gt;=300,Banking_Credit_Risk_Dirty[[#This Row],[Borrower_Credit_Score]]&lt;=850),Banking_Credit_Risk_Dirty[[#This Row],[Borrower_Credit_Score]],"")</f>
        <v>745</v>
      </c>
    </row>
    <row r="732" spans="1:11" x14ac:dyDescent="0.25">
      <c r="A732" s="2" t="s">
        <v>754</v>
      </c>
      <c r="B732" s="2" t="s">
        <v>15</v>
      </c>
      <c r="C732" s="1">
        <v>45458</v>
      </c>
      <c r="D732">
        <v>15356</v>
      </c>
      <c r="E732">
        <v>451</v>
      </c>
      <c r="F732">
        <v>0.48</v>
      </c>
      <c r="G732">
        <v>0</v>
      </c>
      <c r="H732" s="2" t="s">
        <v>16</v>
      </c>
      <c r="I732" s="2" t="s">
        <v>13</v>
      </c>
      <c r="J732">
        <v>26</v>
      </c>
      <c r="K732">
        <f>IF(AND(Banking_Credit_Risk_Dirty[[#This Row],[Borrower_Credit_Score]]&gt;=300,Banking_Credit_Risk_Dirty[[#This Row],[Borrower_Credit_Score]]&lt;=850),Banking_Credit_Risk_Dirty[[#This Row],[Borrower_Credit_Score]],"")</f>
        <v>451</v>
      </c>
    </row>
    <row r="733" spans="1:11" x14ac:dyDescent="0.25">
      <c r="A733" s="2" t="s">
        <v>755</v>
      </c>
      <c r="B733" s="2" t="s">
        <v>15</v>
      </c>
      <c r="C733" s="1">
        <v>45780</v>
      </c>
      <c r="D733">
        <v>106953</v>
      </c>
      <c r="E733">
        <v>480</v>
      </c>
      <c r="F733">
        <v>0.61</v>
      </c>
      <c r="G733">
        <v>5</v>
      </c>
      <c r="H733" s="2" t="s">
        <v>16</v>
      </c>
      <c r="I733" s="2" t="s">
        <v>89</v>
      </c>
      <c r="J733">
        <v>16</v>
      </c>
      <c r="K733">
        <f>IF(AND(Banking_Credit_Risk_Dirty[[#This Row],[Borrower_Credit_Score]]&gt;=300,Banking_Credit_Risk_Dirty[[#This Row],[Borrower_Credit_Score]]&lt;=850),Banking_Credit_Risk_Dirty[[#This Row],[Borrower_Credit_Score]],"")</f>
        <v>480</v>
      </c>
    </row>
    <row r="734" spans="1:11" x14ac:dyDescent="0.25">
      <c r="A734" s="2" t="s">
        <v>756</v>
      </c>
      <c r="B734" s="2" t="s">
        <v>11</v>
      </c>
      <c r="C734" s="1">
        <v>45339</v>
      </c>
      <c r="D734">
        <v>105962</v>
      </c>
      <c r="E734">
        <v>771</v>
      </c>
      <c r="F734">
        <v>0.35</v>
      </c>
      <c r="G734">
        <v>5</v>
      </c>
      <c r="H734" s="2" t="s">
        <v>12</v>
      </c>
      <c r="I734" s="2" t="s">
        <v>23</v>
      </c>
      <c r="J734">
        <v>30</v>
      </c>
      <c r="K734">
        <f>IF(AND(Banking_Credit_Risk_Dirty[[#This Row],[Borrower_Credit_Score]]&gt;=300,Banking_Credit_Risk_Dirty[[#This Row],[Borrower_Credit_Score]]&lt;=850),Banking_Credit_Risk_Dirty[[#This Row],[Borrower_Credit_Score]],"")</f>
        <v>771</v>
      </c>
    </row>
    <row r="735" spans="1:11" x14ac:dyDescent="0.25">
      <c r="A735" s="2" t="s">
        <v>757</v>
      </c>
      <c r="B735" s="2" t="s">
        <v>15</v>
      </c>
      <c r="C735" s="1">
        <v>45533</v>
      </c>
      <c r="D735">
        <v>98452</v>
      </c>
      <c r="E735">
        <v>802</v>
      </c>
      <c r="F735">
        <v>0.27</v>
      </c>
      <c r="G735">
        <v>6</v>
      </c>
      <c r="H735" s="2" t="s">
        <v>19</v>
      </c>
      <c r="I735" s="2" t="s">
        <v>17</v>
      </c>
      <c r="J735">
        <v>24</v>
      </c>
      <c r="K735">
        <f>IF(AND(Banking_Credit_Risk_Dirty[[#This Row],[Borrower_Credit_Score]]&gt;=300,Banking_Credit_Risk_Dirty[[#This Row],[Borrower_Credit_Score]]&lt;=850),Banking_Credit_Risk_Dirty[[#This Row],[Borrower_Credit_Score]],"")</f>
        <v>802</v>
      </c>
    </row>
    <row r="736" spans="1:11" x14ac:dyDescent="0.25">
      <c r="A736" s="2" t="s">
        <v>758</v>
      </c>
      <c r="B736" s="2" t="s">
        <v>15</v>
      </c>
      <c r="C736" s="1">
        <v>45628</v>
      </c>
      <c r="D736">
        <v>139672</v>
      </c>
      <c r="E736">
        <v>817</v>
      </c>
      <c r="F736">
        <v>0.21</v>
      </c>
      <c r="G736">
        <v>6</v>
      </c>
      <c r="H736" s="2" t="s">
        <v>41</v>
      </c>
      <c r="I736" s="2" t="s">
        <v>23</v>
      </c>
      <c r="J736">
        <v>21</v>
      </c>
      <c r="K736">
        <f>IF(AND(Banking_Credit_Risk_Dirty[[#This Row],[Borrower_Credit_Score]]&gt;=300,Banking_Credit_Risk_Dirty[[#This Row],[Borrower_Credit_Score]]&lt;=850),Banking_Credit_Risk_Dirty[[#This Row],[Borrower_Credit_Score]],"")</f>
        <v>817</v>
      </c>
    </row>
    <row r="737" spans="1:11" x14ac:dyDescent="0.25">
      <c r="A737" s="2" t="s">
        <v>759</v>
      </c>
      <c r="B737" s="2" t="s">
        <v>21</v>
      </c>
      <c r="C737" s="1">
        <v>45439</v>
      </c>
      <c r="D737">
        <v>66683</v>
      </c>
      <c r="E737">
        <v>509</v>
      </c>
      <c r="F737">
        <v>0.62</v>
      </c>
      <c r="G737">
        <v>4</v>
      </c>
      <c r="H737" s="2" t="s">
        <v>22</v>
      </c>
      <c r="I737" s="2" t="s">
        <v>89</v>
      </c>
      <c r="J737">
        <v>27</v>
      </c>
      <c r="K737">
        <f>IF(AND(Banking_Credit_Risk_Dirty[[#This Row],[Borrower_Credit_Score]]&gt;=300,Banking_Credit_Risk_Dirty[[#This Row],[Borrower_Credit_Score]]&lt;=850),Banking_Credit_Risk_Dirty[[#This Row],[Borrower_Credit_Score]],"")</f>
        <v>509</v>
      </c>
    </row>
    <row r="738" spans="1:11" x14ac:dyDescent="0.25">
      <c r="A738" s="2" t="s">
        <v>760</v>
      </c>
      <c r="B738" s="2" t="s">
        <v>11</v>
      </c>
      <c r="C738" s="1">
        <v>45306</v>
      </c>
      <c r="D738">
        <v>34362</v>
      </c>
      <c r="E738">
        <v>759</v>
      </c>
      <c r="F738">
        <v>0.22</v>
      </c>
      <c r="G738">
        <v>0</v>
      </c>
      <c r="H738" s="2" t="s">
        <v>41</v>
      </c>
      <c r="I738" s="2" t="s">
        <v>13</v>
      </c>
      <c r="J738">
        <v>31</v>
      </c>
      <c r="K738">
        <f>IF(AND(Banking_Credit_Risk_Dirty[[#This Row],[Borrower_Credit_Score]]&gt;=300,Banking_Credit_Risk_Dirty[[#This Row],[Borrower_Credit_Score]]&lt;=850),Banking_Credit_Risk_Dirty[[#This Row],[Borrower_Credit_Score]],"")</f>
        <v>759</v>
      </c>
    </row>
    <row r="739" spans="1:11" x14ac:dyDescent="0.25">
      <c r="A739" s="2" t="s">
        <v>761</v>
      </c>
      <c r="B739" s="2" t="s">
        <v>21</v>
      </c>
      <c r="C739" s="1">
        <v>45694</v>
      </c>
      <c r="D739">
        <v>80969</v>
      </c>
      <c r="E739">
        <v>579</v>
      </c>
      <c r="F739">
        <v>0.28999999999999998</v>
      </c>
      <c r="G739">
        <v>0</v>
      </c>
      <c r="H739" s="2" t="s">
        <v>27</v>
      </c>
      <c r="I739" s="2" t="s">
        <v>13</v>
      </c>
      <c r="J739">
        <v>19</v>
      </c>
      <c r="K739">
        <f>IF(AND(Banking_Credit_Risk_Dirty[[#This Row],[Borrower_Credit_Score]]&gt;=300,Banking_Credit_Risk_Dirty[[#This Row],[Borrower_Credit_Score]]&lt;=850),Banking_Credit_Risk_Dirty[[#This Row],[Borrower_Credit_Score]],"")</f>
        <v>579</v>
      </c>
    </row>
    <row r="740" spans="1:11" x14ac:dyDescent="0.25">
      <c r="A740" s="2" t="s">
        <v>762</v>
      </c>
      <c r="B740" s="2" t="s">
        <v>43</v>
      </c>
      <c r="C740" s="1">
        <v>45978</v>
      </c>
      <c r="D740">
        <v>25436</v>
      </c>
      <c r="E740">
        <v>624</v>
      </c>
      <c r="F740">
        <v>0.53</v>
      </c>
      <c r="G740">
        <v>1</v>
      </c>
      <c r="H740" s="2" t="s">
        <v>27</v>
      </c>
      <c r="I740" s="2" t="s">
        <v>23</v>
      </c>
      <c r="J740">
        <v>9</v>
      </c>
      <c r="K740">
        <f>IF(AND(Banking_Credit_Risk_Dirty[[#This Row],[Borrower_Credit_Score]]&gt;=300,Banking_Credit_Risk_Dirty[[#This Row],[Borrower_Credit_Score]]&lt;=850),Banking_Credit_Risk_Dirty[[#This Row],[Borrower_Credit_Score]],"")</f>
        <v>624</v>
      </c>
    </row>
    <row r="741" spans="1:11" x14ac:dyDescent="0.25">
      <c r="A741" s="2" t="s">
        <v>763</v>
      </c>
      <c r="B741" s="2" t="s">
        <v>43</v>
      </c>
      <c r="C741" s="1">
        <v>45713</v>
      </c>
      <c r="D741">
        <v>51329</v>
      </c>
      <c r="E741">
        <v>726</v>
      </c>
      <c r="F741">
        <v>0.43</v>
      </c>
      <c r="G741">
        <v>0</v>
      </c>
      <c r="H741" s="2" t="s">
        <v>19</v>
      </c>
      <c r="I741" s="2" t="s">
        <v>23</v>
      </c>
      <c r="J741">
        <v>18</v>
      </c>
      <c r="K741">
        <f>IF(AND(Banking_Credit_Risk_Dirty[[#This Row],[Borrower_Credit_Score]]&gt;=300,Banking_Credit_Risk_Dirty[[#This Row],[Borrower_Credit_Score]]&lt;=850),Banking_Credit_Risk_Dirty[[#This Row],[Borrower_Credit_Score]],"")</f>
        <v>726</v>
      </c>
    </row>
    <row r="742" spans="1:11" x14ac:dyDescent="0.25">
      <c r="A742" s="2" t="s">
        <v>764</v>
      </c>
      <c r="B742" s="2" t="s">
        <v>15</v>
      </c>
      <c r="C742" s="1">
        <v>45835</v>
      </c>
      <c r="D742">
        <v>74369</v>
      </c>
      <c r="E742">
        <v>594</v>
      </c>
      <c r="F742">
        <v>0.45</v>
      </c>
      <c r="G742">
        <v>3</v>
      </c>
      <c r="H742" s="2" t="s">
        <v>41</v>
      </c>
      <c r="I742" s="2" t="s">
        <v>23</v>
      </c>
      <c r="J742">
        <v>14</v>
      </c>
      <c r="K742">
        <f>IF(AND(Banking_Credit_Risk_Dirty[[#This Row],[Borrower_Credit_Score]]&gt;=300,Banking_Credit_Risk_Dirty[[#This Row],[Borrower_Credit_Score]]&lt;=850),Banking_Credit_Risk_Dirty[[#This Row],[Borrower_Credit_Score]],"")</f>
        <v>594</v>
      </c>
    </row>
    <row r="743" spans="1:11" x14ac:dyDescent="0.25">
      <c r="A743" s="2" t="s">
        <v>765</v>
      </c>
      <c r="B743" s="2" t="s">
        <v>15</v>
      </c>
      <c r="C743" s="1">
        <v>45484</v>
      </c>
      <c r="D743">
        <v>96984</v>
      </c>
      <c r="E743">
        <v>466</v>
      </c>
      <c r="F743">
        <v>0.61</v>
      </c>
      <c r="G743">
        <v>3</v>
      </c>
      <c r="H743" s="2" t="s">
        <v>16</v>
      </c>
      <c r="I743" s="2" t="s">
        <v>23</v>
      </c>
      <c r="J743">
        <v>25</v>
      </c>
      <c r="K743">
        <f>IF(AND(Banking_Credit_Risk_Dirty[[#This Row],[Borrower_Credit_Score]]&gt;=300,Banking_Credit_Risk_Dirty[[#This Row],[Borrower_Credit_Score]]&lt;=850),Banking_Credit_Risk_Dirty[[#This Row],[Borrower_Credit_Score]],"")</f>
        <v>466</v>
      </c>
    </row>
    <row r="744" spans="1:11" x14ac:dyDescent="0.25">
      <c r="A744" s="2" t="s">
        <v>766</v>
      </c>
      <c r="B744" s="2" t="s">
        <v>15</v>
      </c>
      <c r="C744" s="1">
        <v>45447</v>
      </c>
      <c r="D744">
        <v>104574</v>
      </c>
      <c r="E744">
        <v>632</v>
      </c>
      <c r="F744">
        <v>0.26</v>
      </c>
      <c r="G744">
        <v>0</v>
      </c>
      <c r="H744" s="2" t="s">
        <v>12</v>
      </c>
      <c r="I744" s="2" t="s">
        <v>13</v>
      </c>
      <c r="J744">
        <v>27</v>
      </c>
      <c r="K744">
        <f>IF(AND(Banking_Credit_Risk_Dirty[[#This Row],[Borrower_Credit_Score]]&gt;=300,Banking_Credit_Risk_Dirty[[#This Row],[Borrower_Credit_Score]]&lt;=850),Banking_Credit_Risk_Dirty[[#This Row],[Borrower_Credit_Score]],"")</f>
        <v>632</v>
      </c>
    </row>
    <row r="745" spans="1:11" x14ac:dyDescent="0.25">
      <c r="A745" s="2" t="s">
        <v>767</v>
      </c>
      <c r="B745" s="2" t="s">
        <v>15</v>
      </c>
      <c r="C745" s="1">
        <v>45443</v>
      </c>
      <c r="D745">
        <v>25740</v>
      </c>
      <c r="E745">
        <v>452</v>
      </c>
      <c r="F745">
        <v>0.2</v>
      </c>
      <c r="G745">
        <v>0</v>
      </c>
      <c r="H745" s="2" t="s">
        <v>19</v>
      </c>
      <c r="I745" s="2" t="s">
        <v>13</v>
      </c>
      <c r="J745">
        <v>27</v>
      </c>
      <c r="K745">
        <f>IF(AND(Banking_Credit_Risk_Dirty[[#This Row],[Borrower_Credit_Score]]&gt;=300,Banking_Credit_Risk_Dirty[[#This Row],[Borrower_Credit_Score]]&lt;=850),Banking_Credit_Risk_Dirty[[#This Row],[Borrower_Credit_Score]],"")</f>
        <v>452</v>
      </c>
    </row>
    <row r="746" spans="1:11" x14ac:dyDescent="0.25">
      <c r="A746" s="2" t="s">
        <v>768</v>
      </c>
      <c r="B746" s="2" t="s">
        <v>11</v>
      </c>
      <c r="C746" s="1">
        <v>45926</v>
      </c>
      <c r="D746">
        <v>135098</v>
      </c>
      <c r="E746">
        <v>770</v>
      </c>
      <c r="F746">
        <v>0.5</v>
      </c>
      <c r="G746">
        <v>0</v>
      </c>
      <c r="H746" s="2" t="s">
        <v>12</v>
      </c>
      <c r="I746" s="2" t="s">
        <v>13</v>
      </c>
      <c r="J746">
        <v>11</v>
      </c>
      <c r="K746">
        <f>IF(AND(Banking_Credit_Risk_Dirty[[#This Row],[Borrower_Credit_Score]]&gt;=300,Banking_Credit_Risk_Dirty[[#This Row],[Borrower_Credit_Score]]&lt;=850),Banking_Credit_Risk_Dirty[[#This Row],[Borrower_Credit_Score]],"")</f>
        <v>770</v>
      </c>
    </row>
    <row r="747" spans="1:11" x14ac:dyDescent="0.25">
      <c r="A747" s="2" t="s">
        <v>769</v>
      </c>
      <c r="B747" s="2" t="s">
        <v>11</v>
      </c>
      <c r="C747" s="1">
        <v>45748</v>
      </c>
      <c r="D747">
        <v>95585</v>
      </c>
      <c r="E747">
        <v>733</v>
      </c>
      <c r="F747">
        <v>0.48</v>
      </c>
      <c r="G747">
        <v>0</v>
      </c>
      <c r="H747" s="2" t="s">
        <v>22</v>
      </c>
      <c r="I747" s="2" t="s">
        <v>13</v>
      </c>
      <c r="J747">
        <v>17</v>
      </c>
      <c r="K747">
        <f>IF(AND(Banking_Credit_Risk_Dirty[[#This Row],[Borrower_Credit_Score]]&gt;=300,Banking_Credit_Risk_Dirty[[#This Row],[Borrower_Credit_Score]]&lt;=850),Banking_Credit_Risk_Dirty[[#This Row],[Borrower_Credit_Score]],"")</f>
        <v>733</v>
      </c>
    </row>
    <row r="748" spans="1:11" x14ac:dyDescent="0.25">
      <c r="A748" s="2" t="s">
        <v>770</v>
      </c>
      <c r="B748" s="2" t="s">
        <v>21</v>
      </c>
      <c r="C748" s="1">
        <v>45714</v>
      </c>
      <c r="D748">
        <v>54439</v>
      </c>
      <c r="E748">
        <v>534</v>
      </c>
      <c r="F748">
        <v>0.25</v>
      </c>
      <c r="G748">
        <v>0</v>
      </c>
      <c r="H748" s="2" t="s">
        <v>19</v>
      </c>
      <c r="I748" s="2" t="s">
        <v>13</v>
      </c>
      <c r="J748">
        <v>18</v>
      </c>
      <c r="K748">
        <f>IF(AND(Banking_Credit_Risk_Dirty[[#This Row],[Borrower_Credit_Score]]&gt;=300,Banking_Credit_Risk_Dirty[[#This Row],[Borrower_Credit_Score]]&lt;=850),Banking_Credit_Risk_Dirty[[#This Row],[Borrower_Credit_Score]],"")</f>
        <v>534</v>
      </c>
    </row>
    <row r="749" spans="1:11" x14ac:dyDescent="0.25">
      <c r="A749" s="2" t="s">
        <v>771</v>
      </c>
      <c r="B749" s="2" t="s">
        <v>15</v>
      </c>
      <c r="C749" s="1">
        <v>45733</v>
      </c>
      <c r="D749">
        <v>116398</v>
      </c>
      <c r="E749">
        <v>548</v>
      </c>
      <c r="F749">
        <v>0.49</v>
      </c>
      <c r="G749">
        <v>5</v>
      </c>
      <c r="H749" s="2" t="s">
        <v>19</v>
      </c>
      <c r="I749" s="2" t="s">
        <v>89</v>
      </c>
      <c r="J749">
        <v>17</v>
      </c>
      <c r="K749">
        <f>IF(AND(Banking_Credit_Risk_Dirty[[#This Row],[Borrower_Credit_Score]]&gt;=300,Banking_Credit_Risk_Dirty[[#This Row],[Borrower_Credit_Score]]&lt;=850),Banking_Credit_Risk_Dirty[[#This Row],[Borrower_Credit_Score]],"")</f>
        <v>548</v>
      </c>
    </row>
    <row r="750" spans="1:11" x14ac:dyDescent="0.25">
      <c r="A750" s="2" t="s">
        <v>772</v>
      </c>
      <c r="B750" s="2" t="s">
        <v>43</v>
      </c>
      <c r="C750" s="1">
        <v>45694</v>
      </c>
      <c r="D750">
        <v>22243</v>
      </c>
      <c r="E750">
        <v>543</v>
      </c>
      <c r="F750">
        <v>0.26</v>
      </c>
      <c r="G750">
        <v>6</v>
      </c>
      <c r="H750" s="2" t="s">
        <v>27</v>
      </c>
      <c r="I750" s="2" t="s">
        <v>17</v>
      </c>
      <c r="J750">
        <v>19</v>
      </c>
      <c r="K750">
        <f>IF(AND(Banking_Credit_Risk_Dirty[[#This Row],[Borrower_Credit_Score]]&gt;=300,Banking_Credit_Risk_Dirty[[#This Row],[Borrower_Credit_Score]]&lt;=850),Banking_Credit_Risk_Dirty[[#This Row],[Borrower_Credit_Score]],"")</f>
        <v>543</v>
      </c>
    </row>
    <row r="751" spans="1:11" x14ac:dyDescent="0.25">
      <c r="A751" s="2" t="s">
        <v>773</v>
      </c>
      <c r="B751" s="2" t="s">
        <v>21</v>
      </c>
      <c r="C751" s="1">
        <v>45743</v>
      </c>
      <c r="D751">
        <v>31140</v>
      </c>
      <c r="E751">
        <v>707</v>
      </c>
      <c r="F751">
        <v>0.18</v>
      </c>
      <c r="G751">
        <v>0</v>
      </c>
      <c r="H751" s="2" t="s">
        <v>41</v>
      </c>
      <c r="I751" s="2" t="s">
        <v>13</v>
      </c>
      <c r="J751">
        <v>17</v>
      </c>
      <c r="K751">
        <f>IF(AND(Banking_Credit_Risk_Dirty[[#This Row],[Borrower_Credit_Score]]&gt;=300,Banking_Credit_Risk_Dirty[[#This Row],[Borrower_Credit_Score]]&lt;=850),Banking_Credit_Risk_Dirty[[#This Row],[Borrower_Credit_Score]],"")</f>
        <v>707</v>
      </c>
    </row>
    <row r="752" spans="1:11" x14ac:dyDescent="0.25">
      <c r="A752" s="2" t="s">
        <v>774</v>
      </c>
      <c r="B752" s="2" t="s">
        <v>21</v>
      </c>
      <c r="C752" s="1">
        <v>45713</v>
      </c>
      <c r="D752">
        <v>30900</v>
      </c>
      <c r="E752">
        <v>798</v>
      </c>
      <c r="F752">
        <v>0.59</v>
      </c>
      <c r="G752">
        <v>0</v>
      </c>
      <c r="H752" s="2" t="s">
        <v>41</v>
      </c>
      <c r="I752" s="2" t="s">
        <v>13</v>
      </c>
      <c r="J752">
        <v>18</v>
      </c>
      <c r="K752">
        <f>IF(AND(Banking_Credit_Risk_Dirty[[#This Row],[Borrower_Credit_Score]]&gt;=300,Banking_Credit_Risk_Dirty[[#This Row],[Borrower_Credit_Score]]&lt;=850),Banking_Credit_Risk_Dirty[[#This Row],[Borrower_Credit_Score]],"")</f>
        <v>798</v>
      </c>
    </row>
    <row r="753" spans="1:11" x14ac:dyDescent="0.25">
      <c r="A753" s="2" t="s">
        <v>775</v>
      </c>
      <c r="B753" s="2" t="s">
        <v>11</v>
      </c>
      <c r="C753" s="1">
        <v>45294</v>
      </c>
      <c r="D753">
        <v>55128</v>
      </c>
      <c r="E753">
        <v>765</v>
      </c>
      <c r="F753">
        <v>0.52</v>
      </c>
      <c r="G753">
        <v>0</v>
      </c>
      <c r="H753" s="2" t="s">
        <v>19</v>
      </c>
      <c r="I753" s="2" t="s">
        <v>13</v>
      </c>
      <c r="J753">
        <v>32</v>
      </c>
      <c r="K753">
        <f>IF(AND(Banking_Credit_Risk_Dirty[[#This Row],[Borrower_Credit_Score]]&gt;=300,Banking_Credit_Risk_Dirty[[#This Row],[Borrower_Credit_Score]]&lt;=850),Banking_Credit_Risk_Dirty[[#This Row],[Borrower_Credit_Score]],"")</f>
        <v>765</v>
      </c>
    </row>
    <row r="754" spans="1:11" x14ac:dyDescent="0.25">
      <c r="A754" s="2" t="s">
        <v>776</v>
      </c>
      <c r="B754" s="2" t="s">
        <v>21</v>
      </c>
      <c r="C754" s="1">
        <v>45650</v>
      </c>
      <c r="D754">
        <v>11967</v>
      </c>
      <c r="E754">
        <v>729</v>
      </c>
      <c r="F754">
        <v>0.5</v>
      </c>
      <c r="G754">
        <v>6</v>
      </c>
      <c r="H754" s="2" t="s">
        <v>12</v>
      </c>
      <c r="I754" s="2" t="s">
        <v>23</v>
      </c>
      <c r="J754">
        <v>20</v>
      </c>
      <c r="K754">
        <f>IF(AND(Banking_Credit_Risk_Dirty[[#This Row],[Borrower_Credit_Score]]&gt;=300,Banking_Credit_Risk_Dirty[[#This Row],[Borrower_Credit_Score]]&lt;=850),Banking_Credit_Risk_Dirty[[#This Row],[Borrower_Credit_Score]],"")</f>
        <v>729</v>
      </c>
    </row>
    <row r="755" spans="1:11" x14ac:dyDescent="0.25">
      <c r="A755" s="2" t="s">
        <v>777</v>
      </c>
      <c r="B755" s="2" t="s">
        <v>21</v>
      </c>
      <c r="C755" s="1">
        <v>45601</v>
      </c>
      <c r="D755">
        <v>47318</v>
      </c>
      <c r="E755">
        <v>660</v>
      </c>
      <c r="F755">
        <v>0.57999999999999996</v>
      </c>
      <c r="G755">
        <v>0</v>
      </c>
      <c r="H755" s="2" t="s">
        <v>12</v>
      </c>
      <c r="I755" s="2" t="s">
        <v>13</v>
      </c>
      <c r="J755">
        <v>22</v>
      </c>
      <c r="K755">
        <f>IF(AND(Banking_Credit_Risk_Dirty[[#This Row],[Borrower_Credit_Score]]&gt;=300,Banking_Credit_Risk_Dirty[[#This Row],[Borrower_Credit_Score]]&lt;=850),Banking_Credit_Risk_Dirty[[#This Row],[Borrower_Credit_Score]],"")</f>
        <v>660</v>
      </c>
    </row>
    <row r="756" spans="1:11" x14ac:dyDescent="0.25">
      <c r="A756" s="2" t="s">
        <v>778</v>
      </c>
      <c r="B756" s="2" t="s">
        <v>21</v>
      </c>
      <c r="C756" s="1">
        <v>45725</v>
      </c>
      <c r="D756">
        <v>121751</v>
      </c>
      <c r="E756">
        <v>716</v>
      </c>
      <c r="F756">
        <v>0.28000000000000003</v>
      </c>
      <c r="G756">
        <v>0</v>
      </c>
      <c r="H756" s="2" t="s">
        <v>12</v>
      </c>
      <c r="I756" s="2" t="s">
        <v>13</v>
      </c>
      <c r="J756">
        <v>18</v>
      </c>
      <c r="K756">
        <f>IF(AND(Banking_Credit_Risk_Dirty[[#This Row],[Borrower_Credit_Score]]&gt;=300,Banking_Credit_Risk_Dirty[[#This Row],[Borrower_Credit_Score]]&lt;=850),Banking_Credit_Risk_Dirty[[#This Row],[Borrower_Credit_Score]],"")</f>
        <v>716</v>
      </c>
    </row>
    <row r="757" spans="1:11" x14ac:dyDescent="0.25">
      <c r="A757" s="2" t="s">
        <v>779</v>
      </c>
      <c r="B757" s="2" t="s">
        <v>21</v>
      </c>
      <c r="C757" s="1">
        <v>45823</v>
      </c>
      <c r="D757">
        <v>84481</v>
      </c>
      <c r="E757">
        <v>452</v>
      </c>
      <c r="F757">
        <v>0.38</v>
      </c>
      <c r="G757">
        <v>0</v>
      </c>
      <c r="H757" s="2" t="s">
        <v>19</v>
      </c>
      <c r="I757" s="2" t="s">
        <v>13</v>
      </c>
      <c r="J757">
        <v>14</v>
      </c>
      <c r="K757">
        <f>IF(AND(Banking_Credit_Risk_Dirty[[#This Row],[Borrower_Credit_Score]]&gt;=300,Banking_Credit_Risk_Dirty[[#This Row],[Borrower_Credit_Score]]&lt;=850),Banking_Credit_Risk_Dirty[[#This Row],[Borrower_Credit_Score]],"")</f>
        <v>452</v>
      </c>
    </row>
    <row r="758" spans="1:11" x14ac:dyDescent="0.25">
      <c r="A758" s="2" t="s">
        <v>780</v>
      </c>
      <c r="B758" s="2" t="s">
        <v>15</v>
      </c>
      <c r="C758" s="1">
        <v>45590</v>
      </c>
      <c r="D758">
        <v>144538</v>
      </c>
      <c r="E758">
        <v>584</v>
      </c>
      <c r="F758">
        <v>0.46</v>
      </c>
      <c r="G758">
        <v>1</v>
      </c>
      <c r="H758" s="2" t="s">
        <v>12</v>
      </c>
      <c r="I758" s="2" t="s">
        <v>23</v>
      </c>
      <c r="J758">
        <v>22</v>
      </c>
      <c r="K758">
        <f>IF(AND(Banking_Credit_Risk_Dirty[[#This Row],[Borrower_Credit_Score]]&gt;=300,Banking_Credit_Risk_Dirty[[#This Row],[Borrower_Credit_Score]]&lt;=850),Banking_Credit_Risk_Dirty[[#This Row],[Borrower_Credit_Score]],"")</f>
        <v>584</v>
      </c>
    </row>
    <row r="759" spans="1:11" x14ac:dyDescent="0.25">
      <c r="A759" s="2" t="s">
        <v>781</v>
      </c>
      <c r="B759" s="2" t="s">
        <v>43</v>
      </c>
      <c r="C759" s="1">
        <v>45915</v>
      </c>
      <c r="D759">
        <v>86513</v>
      </c>
      <c r="E759">
        <v>777</v>
      </c>
      <c r="F759">
        <v>0.62</v>
      </c>
      <c r="G759">
        <v>0</v>
      </c>
      <c r="H759" s="2" t="s">
        <v>12</v>
      </c>
      <c r="I759" s="2" t="s">
        <v>13</v>
      </c>
      <c r="J759">
        <v>11</v>
      </c>
      <c r="K759">
        <f>IF(AND(Banking_Credit_Risk_Dirty[[#This Row],[Borrower_Credit_Score]]&gt;=300,Banking_Credit_Risk_Dirty[[#This Row],[Borrower_Credit_Score]]&lt;=850),Banking_Credit_Risk_Dirty[[#This Row],[Borrower_Credit_Score]],"")</f>
        <v>777</v>
      </c>
    </row>
    <row r="760" spans="1:11" x14ac:dyDescent="0.25">
      <c r="A760" s="2" t="s">
        <v>782</v>
      </c>
      <c r="B760" s="2" t="s">
        <v>15</v>
      </c>
      <c r="C760" s="1">
        <v>45718</v>
      </c>
      <c r="D760">
        <v>139768</v>
      </c>
      <c r="E760">
        <v>778</v>
      </c>
      <c r="F760">
        <v>0.61</v>
      </c>
      <c r="G760">
        <v>0</v>
      </c>
      <c r="H760" s="2" t="s">
        <v>41</v>
      </c>
      <c r="I760" s="2" t="s">
        <v>23</v>
      </c>
      <c r="J760">
        <v>18</v>
      </c>
      <c r="K760">
        <f>IF(AND(Banking_Credit_Risk_Dirty[[#This Row],[Borrower_Credit_Score]]&gt;=300,Banking_Credit_Risk_Dirty[[#This Row],[Borrower_Credit_Score]]&lt;=850),Banking_Credit_Risk_Dirty[[#This Row],[Borrower_Credit_Score]],"")</f>
        <v>778</v>
      </c>
    </row>
    <row r="761" spans="1:11" x14ac:dyDescent="0.25">
      <c r="A761" s="2" t="s">
        <v>783</v>
      </c>
      <c r="B761" s="2" t="s">
        <v>21</v>
      </c>
      <c r="C761" s="1">
        <v>45474</v>
      </c>
      <c r="D761">
        <v>119419</v>
      </c>
      <c r="E761">
        <v>9999</v>
      </c>
      <c r="F761">
        <v>0.31</v>
      </c>
      <c r="G761">
        <v>4</v>
      </c>
      <c r="H761" s="2" t="s">
        <v>27</v>
      </c>
      <c r="I761" s="2" t="s">
        <v>17</v>
      </c>
      <c r="J761">
        <v>26</v>
      </c>
      <c r="K761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762" spans="1:11" x14ac:dyDescent="0.25">
      <c r="A762" s="2" t="s">
        <v>784</v>
      </c>
      <c r="B762" s="2" t="s">
        <v>15</v>
      </c>
      <c r="C762" s="1">
        <v>45768</v>
      </c>
      <c r="D762">
        <v>143909</v>
      </c>
      <c r="E762">
        <v>537</v>
      </c>
      <c r="F762">
        <v>0.2</v>
      </c>
      <c r="G762">
        <v>0</v>
      </c>
      <c r="H762" s="2" t="s">
        <v>19</v>
      </c>
      <c r="I762" s="2" t="s">
        <v>13</v>
      </c>
      <c r="J762">
        <v>16</v>
      </c>
      <c r="K762">
        <f>IF(AND(Banking_Credit_Risk_Dirty[[#This Row],[Borrower_Credit_Score]]&gt;=300,Banking_Credit_Risk_Dirty[[#This Row],[Borrower_Credit_Score]]&lt;=850),Banking_Credit_Risk_Dirty[[#This Row],[Borrower_Credit_Score]],"")</f>
        <v>537</v>
      </c>
    </row>
    <row r="763" spans="1:11" x14ac:dyDescent="0.25">
      <c r="A763" s="2" t="s">
        <v>785</v>
      </c>
      <c r="B763" s="2" t="s">
        <v>21</v>
      </c>
      <c r="C763" s="1">
        <v>45714</v>
      </c>
      <c r="D763">
        <v>118814</v>
      </c>
      <c r="E763">
        <v>607</v>
      </c>
      <c r="F763">
        <v>0.48</v>
      </c>
      <c r="G763">
        <v>5</v>
      </c>
      <c r="H763" s="2" t="s">
        <v>19</v>
      </c>
      <c r="I763" s="2" t="s">
        <v>23</v>
      </c>
      <c r="J763">
        <v>18</v>
      </c>
      <c r="K763">
        <f>IF(AND(Banking_Credit_Risk_Dirty[[#This Row],[Borrower_Credit_Score]]&gt;=300,Banking_Credit_Risk_Dirty[[#This Row],[Borrower_Credit_Score]]&lt;=850),Banking_Credit_Risk_Dirty[[#This Row],[Borrower_Credit_Score]],"")</f>
        <v>607</v>
      </c>
    </row>
    <row r="764" spans="1:11" x14ac:dyDescent="0.25">
      <c r="A764" s="2" t="s">
        <v>786</v>
      </c>
      <c r="B764" s="2" t="s">
        <v>21</v>
      </c>
      <c r="C764" s="1">
        <v>45836</v>
      </c>
      <c r="D764">
        <v>34534</v>
      </c>
      <c r="E764">
        <v>450</v>
      </c>
      <c r="F764">
        <v>0.5</v>
      </c>
      <c r="G764">
        <v>1</v>
      </c>
      <c r="H764" s="2" t="s">
        <v>41</v>
      </c>
      <c r="I764" s="2" t="s">
        <v>89</v>
      </c>
      <c r="J764">
        <v>14</v>
      </c>
      <c r="K764">
        <f>IF(AND(Banking_Credit_Risk_Dirty[[#This Row],[Borrower_Credit_Score]]&gt;=300,Banking_Credit_Risk_Dirty[[#This Row],[Borrower_Credit_Score]]&lt;=850),Banking_Credit_Risk_Dirty[[#This Row],[Borrower_Credit_Score]],"")</f>
        <v>450</v>
      </c>
    </row>
    <row r="765" spans="1:11" x14ac:dyDescent="0.25">
      <c r="A765" s="2" t="s">
        <v>787</v>
      </c>
      <c r="B765" s="2" t="s">
        <v>15</v>
      </c>
      <c r="C765" s="1">
        <v>45775</v>
      </c>
      <c r="D765">
        <v>67159</v>
      </c>
      <c r="E765">
        <v>617</v>
      </c>
      <c r="F765">
        <v>0.37</v>
      </c>
      <c r="G765">
        <v>0</v>
      </c>
      <c r="H765" s="2" t="s">
        <v>19</v>
      </c>
      <c r="I765" s="2" t="s">
        <v>13</v>
      </c>
      <c r="J765">
        <v>16</v>
      </c>
      <c r="K765">
        <f>IF(AND(Banking_Credit_Risk_Dirty[[#This Row],[Borrower_Credit_Score]]&gt;=300,Banking_Credit_Risk_Dirty[[#This Row],[Borrower_Credit_Score]]&lt;=850),Banking_Credit_Risk_Dirty[[#This Row],[Borrower_Credit_Score]],"")</f>
        <v>617</v>
      </c>
    </row>
    <row r="766" spans="1:11" x14ac:dyDescent="0.25">
      <c r="A766" s="2" t="s">
        <v>788</v>
      </c>
      <c r="B766" s="2" t="s">
        <v>11</v>
      </c>
      <c r="C766" s="1">
        <v>45935</v>
      </c>
      <c r="D766">
        <v>68248</v>
      </c>
      <c r="E766">
        <v>671</v>
      </c>
      <c r="F766">
        <v>0.41</v>
      </c>
      <c r="G766">
        <v>0</v>
      </c>
      <c r="H766" s="2" t="s">
        <v>19</v>
      </c>
      <c r="I766" s="2" t="s">
        <v>13</v>
      </c>
      <c r="J766">
        <v>11</v>
      </c>
      <c r="K766">
        <f>IF(AND(Banking_Credit_Risk_Dirty[[#This Row],[Borrower_Credit_Score]]&gt;=300,Banking_Credit_Risk_Dirty[[#This Row],[Borrower_Credit_Score]]&lt;=850),Banking_Credit_Risk_Dirty[[#This Row],[Borrower_Credit_Score]],"")</f>
        <v>671</v>
      </c>
    </row>
    <row r="767" spans="1:11" x14ac:dyDescent="0.25">
      <c r="A767" s="2" t="s">
        <v>789</v>
      </c>
      <c r="B767" s="2" t="s">
        <v>43</v>
      </c>
      <c r="C767" s="1">
        <v>45765</v>
      </c>
      <c r="D767">
        <v>96080</v>
      </c>
      <c r="E767">
        <v>759</v>
      </c>
      <c r="F767">
        <v>0.64</v>
      </c>
      <c r="G767">
        <v>0</v>
      </c>
      <c r="H767" s="2" t="s">
        <v>16</v>
      </c>
      <c r="I767" s="2" t="s">
        <v>13</v>
      </c>
      <c r="J767">
        <v>16</v>
      </c>
      <c r="K767">
        <f>IF(AND(Banking_Credit_Risk_Dirty[[#This Row],[Borrower_Credit_Score]]&gt;=300,Banking_Credit_Risk_Dirty[[#This Row],[Borrower_Credit_Score]]&lt;=850),Banking_Credit_Risk_Dirty[[#This Row],[Borrower_Credit_Score]],"")</f>
        <v>759</v>
      </c>
    </row>
    <row r="768" spans="1:11" x14ac:dyDescent="0.25">
      <c r="A768" s="2" t="s">
        <v>790</v>
      </c>
      <c r="B768" s="2" t="s">
        <v>11</v>
      </c>
      <c r="C768" s="1">
        <v>45895</v>
      </c>
      <c r="D768">
        <v>24695</v>
      </c>
      <c r="E768">
        <v>712</v>
      </c>
      <c r="F768">
        <v>0.32</v>
      </c>
      <c r="G768">
        <v>0</v>
      </c>
      <c r="H768" s="2" t="s">
        <v>22</v>
      </c>
      <c r="I768" s="2" t="s">
        <v>13</v>
      </c>
      <c r="J768">
        <v>12</v>
      </c>
      <c r="K768">
        <f>IF(AND(Banking_Credit_Risk_Dirty[[#This Row],[Borrower_Credit_Score]]&gt;=300,Banking_Credit_Risk_Dirty[[#This Row],[Borrower_Credit_Score]]&lt;=850),Banking_Credit_Risk_Dirty[[#This Row],[Borrower_Credit_Score]],"")</f>
        <v>712</v>
      </c>
    </row>
    <row r="769" spans="1:11" x14ac:dyDescent="0.25">
      <c r="A769" s="2" t="s">
        <v>791</v>
      </c>
      <c r="B769" s="2" t="s">
        <v>43</v>
      </c>
      <c r="C769" s="1">
        <v>45697</v>
      </c>
      <c r="D769">
        <v>114332</v>
      </c>
      <c r="E769">
        <v>727</v>
      </c>
      <c r="F769">
        <v>0.57999999999999996</v>
      </c>
      <c r="G769">
        <v>0</v>
      </c>
      <c r="H769" s="2" t="s">
        <v>16</v>
      </c>
      <c r="I769" s="2" t="s">
        <v>13</v>
      </c>
      <c r="J769">
        <v>19</v>
      </c>
      <c r="K769">
        <f>IF(AND(Banking_Credit_Risk_Dirty[[#This Row],[Borrower_Credit_Score]]&gt;=300,Banking_Credit_Risk_Dirty[[#This Row],[Borrower_Credit_Score]]&lt;=850),Banking_Credit_Risk_Dirty[[#This Row],[Borrower_Credit_Score]],"")</f>
        <v>727</v>
      </c>
    </row>
    <row r="770" spans="1:11" x14ac:dyDescent="0.25">
      <c r="A770" s="2" t="s">
        <v>792</v>
      </c>
      <c r="B770" s="2" t="s">
        <v>43</v>
      </c>
      <c r="C770" s="1">
        <v>45358</v>
      </c>
      <c r="D770">
        <v>103781</v>
      </c>
      <c r="E770">
        <v>468</v>
      </c>
      <c r="F770">
        <v>0.33</v>
      </c>
      <c r="G770">
        <v>2</v>
      </c>
      <c r="H770" s="2" t="s">
        <v>19</v>
      </c>
      <c r="I770" s="2" t="s">
        <v>23</v>
      </c>
      <c r="J770">
        <v>30</v>
      </c>
      <c r="K770">
        <f>IF(AND(Banking_Credit_Risk_Dirty[[#This Row],[Borrower_Credit_Score]]&gt;=300,Banking_Credit_Risk_Dirty[[#This Row],[Borrower_Credit_Score]]&lt;=850),Banking_Credit_Risk_Dirty[[#This Row],[Borrower_Credit_Score]],"")</f>
        <v>468</v>
      </c>
    </row>
    <row r="771" spans="1:11" x14ac:dyDescent="0.25">
      <c r="A771" s="2" t="s">
        <v>793</v>
      </c>
      <c r="B771" s="2" t="s">
        <v>21</v>
      </c>
      <c r="C771" s="1">
        <v>45759</v>
      </c>
      <c r="D771">
        <v>73631</v>
      </c>
      <c r="E771">
        <v>725</v>
      </c>
      <c r="F771">
        <v>0.21</v>
      </c>
      <c r="G771">
        <v>0</v>
      </c>
      <c r="H771" s="2" t="s">
        <v>22</v>
      </c>
      <c r="I771" s="2" t="s">
        <v>13</v>
      </c>
      <c r="J771">
        <v>16</v>
      </c>
      <c r="K771">
        <f>IF(AND(Banking_Credit_Risk_Dirty[[#This Row],[Borrower_Credit_Score]]&gt;=300,Banking_Credit_Risk_Dirty[[#This Row],[Borrower_Credit_Score]]&lt;=850),Banking_Credit_Risk_Dirty[[#This Row],[Borrower_Credit_Score]],"")</f>
        <v>725</v>
      </c>
    </row>
    <row r="772" spans="1:11" x14ac:dyDescent="0.25">
      <c r="A772" s="2" t="s">
        <v>794</v>
      </c>
      <c r="B772" s="2" t="s">
        <v>11</v>
      </c>
      <c r="C772" s="1">
        <v>45539</v>
      </c>
      <c r="D772">
        <v>9358</v>
      </c>
      <c r="E772">
        <v>465</v>
      </c>
      <c r="F772">
        <v>0.32</v>
      </c>
      <c r="G772">
        <v>0</v>
      </c>
      <c r="H772" s="2" t="s">
        <v>19</v>
      </c>
      <c r="I772" s="2" t="s">
        <v>13</v>
      </c>
      <c r="J772">
        <v>24</v>
      </c>
      <c r="K772">
        <f>IF(AND(Banking_Credit_Risk_Dirty[[#This Row],[Borrower_Credit_Score]]&gt;=300,Banking_Credit_Risk_Dirty[[#This Row],[Borrower_Credit_Score]]&lt;=850),Banking_Credit_Risk_Dirty[[#This Row],[Borrower_Credit_Score]],"")</f>
        <v>465</v>
      </c>
    </row>
    <row r="773" spans="1:11" x14ac:dyDescent="0.25">
      <c r="A773" s="2" t="s">
        <v>795</v>
      </c>
      <c r="B773" s="2" t="s">
        <v>21</v>
      </c>
      <c r="C773" s="1">
        <v>45800</v>
      </c>
      <c r="D773">
        <v>141734</v>
      </c>
      <c r="E773">
        <v>630</v>
      </c>
      <c r="F773">
        <v>0.21</v>
      </c>
      <c r="G773">
        <v>0</v>
      </c>
      <c r="H773" s="2" t="s">
        <v>19</v>
      </c>
      <c r="I773" s="2" t="s">
        <v>13</v>
      </c>
      <c r="J773">
        <v>15</v>
      </c>
      <c r="K773">
        <f>IF(AND(Banking_Credit_Risk_Dirty[[#This Row],[Borrower_Credit_Score]]&gt;=300,Banking_Credit_Risk_Dirty[[#This Row],[Borrower_Credit_Score]]&lt;=850),Banking_Credit_Risk_Dirty[[#This Row],[Borrower_Credit_Score]],"")</f>
        <v>630</v>
      </c>
    </row>
    <row r="774" spans="1:11" x14ac:dyDescent="0.25">
      <c r="A774" s="2" t="s">
        <v>796</v>
      </c>
      <c r="B774" s="2" t="s">
        <v>15</v>
      </c>
      <c r="C774" s="1">
        <v>45514</v>
      </c>
      <c r="D774">
        <v>49451</v>
      </c>
      <c r="E774">
        <v>738</v>
      </c>
      <c r="F774">
        <v>0.33</v>
      </c>
      <c r="G774">
        <v>0</v>
      </c>
      <c r="H774" s="2" t="s">
        <v>12</v>
      </c>
      <c r="I774" s="2" t="s">
        <v>13</v>
      </c>
      <c r="J774">
        <v>24</v>
      </c>
      <c r="K774">
        <f>IF(AND(Banking_Credit_Risk_Dirty[[#This Row],[Borrower_Credit_Score]]&gt;=300,Banking_Credit_Risk_Dirty[[#This Row],[Borrower_Credit_Score]]&lt;=850),Banking_Credit_Risk_Dirty[[#This Row],[Borrower_Credit_Score]],"")</f>
        <v>738</v>
      </c>
    </row>
    <row r="775" spans="1:11" x14ac:dyDescent="0.25">
      <c r="A775" s="2" t="s">
        <v>797</v>
      </c>
      <c r="B775" s="2" t="s">
        <v>43</v>
      </c>
      <c r="C775" s="1">
        <v>45879</v>
      </c>
      <c r="D775">
        <v>60253</v>
      </c>
      <c r="E775">
        <v>708</v>
      </c>
      <c r="F775">
        <v>0.47</v>
      </c>
      <c r="G775">
        <v>4</v>
      </c>
      <c r="H775" s="2" t="s">
        <v>22</v>
      </c>
      <c r="I775" s="2" t="s">
        <v>17</v>
      </c>
      <c r="J775">
        <v>12</v>
      </c>
      <c r="K775">
        <f>IF(AND(Banking_Credit_Risk_Dirty[[#This Row],[Borrower_Credit_Score]]&gt;=300,Banking_Credit_Risk_Dirty[[#This Row],[Borrower_Credit_Score]]&lt;=850),Banking_Credit_Risk_Dirty[[#This Row],[Borrower_Credit_Score]],"")</f>
        <v>708</v>
      </c>
    </row>
    <row r="776" spans="1:11" x14ac:dyDescent="0.25">
      <c r="A776" s="2" t="s">
        <v>798</v>
      </c>
      <c r="B776" s="2" t="s">
        <v>43</v>
      </c>
      <c r="C776" s="1">
        <v>45651</v>
      </c>
      <c r="D776">
        <v>7604</v>
      </c>
      <c r="E776">
        <v>535</v>
      </c>
      <c r="F776">
        <v>0.26</v>
      </c>
      <c r="G776">
        <v>0</v>
      </c>
      <c r="H776" s="2" t="s">
        <v>22</v>
      </c>
      <c r="I776" s="2" t="s">
        <v>13</v>
      </c>
      <c r="J776">
        <v>20</v>
      </c>
      <c r="K776">
        <f>IF(AND(Banking_Credit_Risk_Dirty[[#This Row],[Borrower_Credit_Score]]&gt;=300,Banking_Credit_Risk_Dirty[[#This Row],[Borrower_Credit_Score]]&lt;=850),Banking_Credit_Risk_Dirty[[#This Row],[Borrower_Credit_Score]],"")</f>
        <v>535</v>
      </c>
    </row>
    <row r="777" spans="1:11" x14ac:dyDescent="0.25">
      <c r="A777" s="2" t="s">
        <v>799</v>
      </c>
      <c r="B777" s="2" t="s">
        <v>11</v>
      </c>
      <c r="C777" s="1">
        <v>45532</v>
      </c>
      <c r="D777">
        <v>36243</v>
      </c>
      <c r="E777">
        <v>9999</v>
      </c>
      <c r="F777">
        <v>0.17</v>
      </c>
      <c r="G777">
        <v>0</v>
      </c>
      <c r="H777" s="2" t="s">
        <v>12</v>
      </c>
      <c r="I777" s="2" t="s">
        <v>23</v>
      </c>
      <c r="J777">
        <v>24</v>
      </c>
      <c r="K777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778" spans="1:11" x14ac:dyDescent="0.25">
      <c r="A778" s="2" t="s">
        <v>800</v>
      </c>
      <c r="B778" s="2" t="s">
        <v>21</v>
      </c>
      <c r="C778" s="1">
        <v>45485</v>
      </c>
      <c r="D778">
        <v>59802</v>
      </c>
      <c r="E778">
        <v>710</v>
      </c>
      <c r="F778">
        <v>0.54</v>
      </c>
      <c r="G778">
        <v>0</v>
      </c>
      <c r="H778" s="2" t="s">
        <v>19</v>
      </c>
      <c r="I778" s="2" t="s">
        <v>13</v>
      </c>
      <c r="J778">
        <v>25</v>
      </c>
      <c r="K778">
        <f>IF(AND(Banking_Credit_Risk_Dirty[[#This Row],[Borrower_Credit_Score]]&gt;=300,Banking_Credit_Risk_Dirty[[#This Row],[Borrower_Credit_Score]]&lt;=850),Banking_Credit_Risk_Dirty[[#This Row],[Borrower_Credit_Score]],"")</f>
        <v>710</v>
      </c>
    </row>
    <row r="779" spans="1:11" x14ac:dyDescent="0.25">
      <c r="A779" s="2" t="s">
        <v>801</v>
      </c>
      <c r="B779" s="2" t="s">
        <v>15</v>
      </c>
      <c r="C779" s="1">
        <v>45527</v>
      </c>
      <c r="D779">
        <v>140822</v>
      </c>
      <c r="E779">
        <v>670</v>
      </c>
      <c r="F779">
        <v>0.16</v>
      </c>
      <c r="G779">
        <v>3</v>
      </c>
      <c r="H779" s="2" t="s">
        <v>16</v>
      </c>
      <c r="I779" s="2" t="s">
        <v>23</v>
      </c>
      <c r="J779">
        <v>24</v>
      </c>
      <c r="K779">
        <f>IF(AND(Banking_Credit_Risk_Dirty[[#This Row],[Borrower_Credit_Score]]&gt;=300,Banking_Credit_Risk_Dirty[[#This Row],[Borrower_Credit_Score]]&lt;=850),Banking_Credit_Risk_Dirty[[#This Row],[Borrower_Credit_Score]],"")</f>
        <v>670</v>
      </c>
    </row>
    <row r="780" spans="1:11" x14ac:dyDescent="0.25">
      <c r="A780" s="2" t="s">
        <v>802</v>
      </c>
      <c r="B780" s="2" t="s">
        <v>15</v>
      </c>
      <c r="C780" s="1">
        <v>45372</v>
      </c>
      <c r="D780">
        <v>46067</v>
      </c>
      <c r="E780">
        <v>704</v>
      </c>
      <c r="F780">
        <v>0.15</v>
      </c>
      <c r="G780">
        <v>0</v>
      </c>
      <c r="H780" s="2" t="s">
        <v>19</v>
      </c>
      <c r="I780" s="2" t="s">
        <v>13</v>
      </c>
      <c r="J780">
        <v>29</v>
      </c>
      <c r="K780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781" spans="1:11" x14ac:dyDescent="0.25">
      <c r="A781" s="2" t="s">
        <v>803</v>
      </c>
      <c r="B781" s="2" t="s">
        <v>11</v>
      </c>
      <c r="C781" s="1">
        <v>45830</v>
      </c>
      <c r="D781">
        <v>40283</v>
      </c>
      <c r="E781">
        <v>668</v>
      </c>
      <c r="F781">
        <v>0.25</v>
      </c>
      <c r="G781">
        <v>0</v>
      </c>
      <c r="H781" s="2" t="s">
        <v>12</v>
      </c>
      <c r="I781" s="2" t="s">
        <v>23</v>
      </c>
      <c r="J781">
        <v>14</v>
      </c>
      <c r="K781">
        <f>IF(AND(Banking_Credit_Risk_Dirty[[#This Row],[Borrower_Credit_Score]]&gt;=300,Banking_Credit_Risk_Dirty[[#This Row],[Borrower_Credit_Score]]&lt;=850),Banking_Credit_Risk_Dirty[[#This Row],[Borrower_Credit_Score]],"")</f>
        <v>668</v>
      </c>
    </row>
    <row r="782" spans="1:11" x14ac:dyDescent="0.25">
      <c r="A782" s="2" t="s">
        <v>804</v>
      </c>
      <c r="B782" s="2" t="s">
        <v>21</v>
      </c>
      <c r="C782" s="1">
        <v>45548</v>
      </c>
      <c r="D782">
        <v>100219</v>
      </c>
      <c r="E782">
        <v>586</v>
      </c>
      <c r="F782">
        <v>0.2</v>
      </c>
      <c r="G782">
        <v>0</v>
      </c>
      <c r="H782" s="2" t="s">
        <v>27</v>
      </c>
      <c r="I782" s="2" t="s">
        <v>13</v>
      </c>
      <c r="J782">
        <v>23</v>
      </c>
      <c r="K782">
        <f>IF(AND(Banking_Credit_Risk_Dirty[[#This Row],[Borrower_Credit_Score]]&gt;=300,Banking_Credit_Risk_Dirty[[#This Row],[Borrower_Credit_Score]]&lt;=850),Banking_Credit_Risk_Dirty[[#This Row],[Borrower_Credit_Score]],"")</f>
        <v>586</v>
      </c>
    </row>
    <row r="783" spans="1:11" x14ac:dyDescent="0.25">
      <c r="A783" s="2" t="s">
        <v>805</v>
      </c>
      <c r="B783" s="2" t="s">
        <v>15</v>
      </c>
      <c r="C783" s="1">
        <v>45599</v>
      </c>
      <c r="D783">
        <v>91480</v>
      </c>
      <c r="E783">
        <v>580</v>
      </c>
      <c r="F783">
        <v>0.26</v>
      </c>
      <c r="G783">
        <v>2</v>
      </c>
      <c r="H783" s="2" t="s">
        <v>19</v>
      </c>
      <c r="I783" s="2" t="s">
        <v>17</v>
      </c>
      <c r="J783">
        <v>22</v>
      </c>
      <c r="K783">
        <f>IF(AND(Banking_Credit_Risk_Dirty[[#This Row],[Borrower_Credit_Score]]&gt;=300,Banking_Credit_Risk_Dirty[[#This Row],[Borrower_Credit_Score]]&lt;=850),Banking_Credit_Risk_Dirty[[#This Row],[Borrower_Credit_Score]],"")</f>
        <v>580</v>
      </c>
    </row>
    <row r="784" spans="1:11" x14ac:dyDescent="0.25">
      <c r="A784" s="2" t="s">
        <v>806</v>
      </c>
      <c r="B784" s="2" t="s">
        <v>21</v>
      </c>
      <c r="C784" s="1">
        <v>45876</v>
      </c>
      <c r="D784">
        <v>92839</v>
      </c>
      <c r="E784">
        <v>710</v>
      </c>
      <c r="F784">
        <v>0.39</v>
      </c>
      <c r="G784">
        <v>0</v>
      </c>
      <c r="H784" s="2" t="s">
        <v>19</v>
      </c>
      <c r="I784" s="2" t="s">
        <v>13</v>
      </c>
      <c r="J784">
        <v>13</v>
      </c>
      <c r="K784">
        <f>IF(AND(Banking_Credit_Risk_Dirty[[#This Row],[Borrower_Credit_Score]]&gt;=300,Banking_Credit_Risk_Dirty[[#This Row],[Borrower_Credit_Score]]&lt;=850),Banking_Credit_Risk_Dirty[[#This Row],[Borrower_Credit_Score]],"")</f>
        <v>710</v>
      </c>
    </row>
    <row r="785" spans="1:11" x14ac:dyDescent="0.25">
      <c r="A785" s="2" t="s">
        <v>807</v>
      </c>
      <c r="B785" s="2" t="s">
        <v>21</v>
      </c>
      <c r="C785" s="1">
        <v>45795</v>
      </c>
      <c r="D785">
        <v>31439</v>
      </c>
      <c r="E785">
        <v>520</v>
      </c>
      <c r="F785">
        <v>0.3</v>
      </c>
      <c r="G785">
        <v>0</v>
      </c>
      <c r="H785" s="2" t="s">
        <v>27</v>
      </c>
      <c r="I785" s="2" t="s">
        <v>13</v>
      </c>
      <c r="J785">
        <v>15</v>
      </c>
      <c r="K785">
        <f>IF(AND(Banking_Credit_Risk_Dirty[[#This Row],[Borrower_Credit_Score]]&gt;=300,Banking_Credit_Risk_Dirty[[#This Row],[Borrower_Credit_Score]]&lt;=850),Banking_Credit_Risk_Dirty[[#This Row],[Borrower_Credit_Score]],"")</f>
        <v>520</v>
      </c>
    </row>
    <row r="786" spans="1:11" x14ac:dyDescent="0.25">
      <c r="A786" s="2" t="s">
        <v>808</v>
      </c>
      <c r="B786" s="2" t="s">
        <v>15</v>
      </c>
      <c r="C786" s="1">
        <v>45816</v>
      </c>
      <c r="D786">
        <v>60958</v>
      </c>
      <c r="E786">
        <v>508</v>
      </c>
      <c r="F786">
        <v>0.64</v>
      </c>
      <c r="G786">
        <v>0</v>
      </c>
      <c r="H786" s="2" t="s">
        <v>27</v>
      </c>
      <c r="I786" s="2" t="s">
        <v>13</v>
      </c>
      <c r="J786">
        <v>15</v>
      </c>
      <c r="K786">
        <f>IF(AND(Banking_Credit_Risk_Dirty[[#This Row],[Borrower_Credit_Score]]&gt;=300,Banking_Credit_Risk_Dirty[[#This Row],[Borrower_Credit_Score]]&lt;=850),Banking_Credit_Risk_Dirty[[#This Row],[Borrower_Credit_Score]],"")</f>
        <v>508</v>
      </c>
    </row>
    <row r="787" spans="1:11" x14ac:dyDescent="0.25">
      <c r="A787" s="2" t="s">
        <v>809</v>
      </c>
      <c r="B787" s="2" t="s">
        <v>21</v>
      </c>
      <c r="C787" s="1">
        <v>45649</v>
      </c>
      <c r="D787">
        <v>58289</v>
      </c>
      <c r="E787">
        <v>631</v>
      </c>
      <c r="F787">
        <v>0.47</v>
      </c>
      <c r="G787">
        <v>3</v>
      </c>
      <c r="H787" s="2" t="s">
        <v>22</v>
      </c>
      <c r="I787" s="2" t="s">
        <v>17</v>
      </c>
      <c r="J787">
        <v>20</v>
      </c>
      <c r="K787">
        <f>IF(AND(Banking_Credit_Risk_Dirty[[#This Row],[Borrower_Credit_Score]]&gt;=300,Banking_Credit_Risk_Dirty[[#This Row],[Borrower_Credit_Score]]&lt;=850),Banking_Credit_Risk_Dirty[[#This Row],[Borrower_Credit_Score]],"")</f>
        <v>631</v>
      </c>
    </row>
    <row r="788" spans="1:11" x14ac:dyDescent="0.25">
      <c r="A788" s="2" t="s">
        <v>810</v>
      </c>
      <c r="B788" s="2" t="s">
        <v>43</v>
      </c>
      <c r="C788" s="1">
        <v>45729</v>
      </c>
      <c r="D788">
        <v>96585</v>
      </c>
      <c r="E788">
        <v>451</v>
      </c>
      <c r="F788">
        <v>0.51</v>
      </c>
      <c r="G788">
        <v>6</v>
      </c>
      <c r="H788" s="2" t="s">
        <v>22</v>
      </c>
      <c r="I788" s="2" t="s">
        <v>89</v>
      </c>
      <c r="J788">
        <v>17</v>
      </c>
      <c r="K788">
        <f>IF(AND(Banking_Credit_Risk_Dirty[[#This Row],[Borrower_Credit_Score]]&gt;=300,Banking_Credit_Risk_Dirty[[#This Row],[Borrower_Credit_Score]]&lt;=850),Banking_Credit_Risk_Dirty[[#This Row],[Borrower_Credit_Score]],"")</f>
        <v>451</v>
      </c>
    </row>
    <row r="789" spans="1:11" x14ac:dyDescent="0.25">
      <c r="A789" s="2" t="s">
        <v>811</v>
      </c>
      <c r="B789" s="2" t="s">
        <v>15</v>
      </c>
      <c r="C789" s="1">
        <v>45937</v>
      </c>
      <c r="D789">
        <v>77768</v>
      </c>
      <c r="E789">
        <v>773</v>
      </c>
      <c r="F789">
        <v>0.45</v>
      </c>
      <c r="G789">
        <v>0</v>
      </c>
      <c r="H789" s="2" t="s">
        <v>41</v>
      </c>
      <c r="I789" s="2" t="s">
        <v>13</v>
      </c>
      <c r="J789">
        <v>11</v>
      </c>
      <c r="K789">
        <f>IF(AND(Banking_Credit_Risk_Dirty[[#This Row],[Borrower_Credit_Score]]&gt;=300,Banking_Credit_Risk_Dirty[[#This Row],[Borrower_Credit_Score]]&lt;=850),Banking_Credit_Risk_Dirty[[#This Row],[Borrower_Credit_Score]],"")</f>
        <v>773</v>
      </c>
    </row>
    <row r="790" spans="1:11" x14ac:dyDescent="0.25">
      <c r="A790" s="2" t="s">
        <v>812</v>
      </c>
      <c r="B790" s="2" t="s">
        <v>21</v>
      </c>
      <c r="C790" s="1">
        <v>45978</v>
      </c>
      <c r="D790">
        <v>29428</v>
      </c>
      <c r="E790">
        <v>560</v>
      </c>
      <c r="F790">
        <v>0.43</v>
      </c>
      <c r="G790">
        <v>5</v>
      </c>
      <c r="H790" s="2" t="s">
        <v>19</v>
      </c>
      <c r="I790" s="2" t="s">
        <v>23</v>
      </c>
      <c r="J790">
        <v>9</v>
      </c>
      <c r="K790">
        <f>IF(AND(Banking_Credit_Risk_Dirty[[#This Row],[Borrower_Credit_Score]]&gt;=300,Banking_Credit_Risk_Dirty[[#This Row],[Borrower_Credit_Score]]&lt;=850),Banking_Credit_Risk_Dirty[[#This Row],[Borrower_Credit_Score]],"")</f>
        <v>560</v>
      </c>
    </row>
    <row r="791" spans="1:11" x14ac:dyDescent="0.25">
      <c r="A791" s="2" t="s">
        <v>813</v>
      </c>
      <c r="B791" s="2" t="s">
        <v>21</v>
      </c>
      <c r="C791" s="1">
        <v>45468</v>
      </c>
      <c r="D791">
        <v>40850</v>
      </c>
      <c r="E791">
        <v>498</v>
      </c>
      <c r="F791">
        <v>0.35</v>
      </c>
      <c r="G791">
        <v>0</v>
      </c>
      <c r="H791" s="2" t="s">
        <v>12</v>
      </c>
      <c r="I791" s="2" t="s">
        <v>13</v>
      </c>
      <c r="J791">
        <v>26</v>
      </c>
      <c r="K791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792" spans="1:11" x14ac:dyDescent="0.25">
      <c r="A792" s="2" t="s">
        <v>814</v>
      </c>
      <c r="B792" s="2" t="s">
        <v>15</v>
      </c>
      <c r="C792" s="1">
        <v>45471</v>
      </c>
      <c r="D792">
        <v>57825</v>
      </c>
      <c r="E792">
        <v>763</v>
      </c>
      <c r="F792">
        <v>0.33</v>
      </c>
      <c r="G792">
        <v>0</v>
      </c>
      <c r="H792" s="2" t="s">
        <v>22</v>
      </c>
      <c r="I792" s="2" t="s">
        <v>13</v>
      </c>
      <c r="J792">
        <v>26</v>
      </c>
      <c r="K792">
        <f>IF(AND(Banking_Credit_Risk_Dirty[[#This Row],[Borrower_Credit_Score]]&gt;=300,Banking_Credit_Risk_Dirty[[#This Row],[Borrower_Credit_Score]]&lt;=850),Banking_Credit_Risk_Dirty[[#This Row],[Borrower_Credit_Score]],"")</f>
        <v>763</v>
      </c>
    </row>
    <row r="793" spans="1:11" x14ac:dyDescent="0.25">
      <c r="A793" s="2" t="s">
        <v>815</v>
      </c>
      <c r="B793" s="2" t="s">
        <v>21</v>
      </c>
      <c r="C793" s="1">
        <v>45733</v>
      </c>
      <c r="D793">
        <v>110798</v>
      </c>
      <c r="E793">
        <v>729</v>
      </c>
      <c r="F793">
        <v>0.5</v>
      </c>
      <c r="G793">
        <v>0</v>
      </c>
      <c r="H793" s="2" t="s">
        <v>19</v>
      </c>
      <c r="I793" s="2" t="s">
        <v>13</v>
      </c>
      <c r="J793">
        <v>17</v>
      </c>
      <c r="K793">
        <f>IF(AND(Banking_Credit_Risk_Dirty[[#This Row],[Borrower_Credit_Score]]&gt;=300,Banking_Credit_Risk_Dirty[[#This Row],[Borrower_Credit_Score]]&lt;=850),Banking_Credit_Risk_Dirty[[#This Row],[Borrower_Credit_Score]],"")</f>
        <v>729</v>
      </c>
    </row>
    <row r="794" spans="1:11" x14ac:dyDescent="0.25">
      <c r="A794" s="2" t="s">
        <v>816</v>
      </c>
      <c r="B794" s="2" t="s">
        <v>11</v>
      </c>
      <c r="C794" s="1">
        <v>45685</v>
      </c>
      <c r="D794">
        <v>58194</v>
      </c>
      <c r="E794">
        <v>762</v>
      </c>
      <c r="F794">
        <v>0.18</v>
      </c>
      <c r="G794">
        <v>0</v>
      </c>
      <c r="H794" s="2" t="s">
        <v>12</v>
      </c>
      <c r="I794" s="2" t="s">
        <v>13</v>
      </c>
      <c r="J794">
        <v>19</v>
      </c>
      <c r="K794">
        <f>IF(AND(Banking_Credit_Risk_Dirty[[#This Row],[Borrower_Credit_Score]]&gt;=300,Banking_Credit_Risk_Dirty[[#This Row],[Borrower_Credit_Score]]&lt;=850),Banking_Credit_Risk_Dirty[[#This Row],[Borrower_Credit_Score]],"")</f>
        <v>762</v>
      </c>
    </row>
    <row r="795" spans="1:11" x14ac:dyDescent="0.25">
      <c r="A795" s="2" t="s">
        <v>817</v>
      </c>
      <c r="B795" s="2" t="s">
        <v>11</v>
      </c>
      <c r="C795" s="1">
        <v>45869</v>
      </c>
      <c r="D795">
        <v>44939</v>
      </c>
      <c r="E795">
        <v>708</v>
      </c>
      <c r="F795">
        <v>0.19</v>
      </c>
      <c r="G795">
        <v>0</v>
      </c>
      <c r="H795" s="2" t="s">
        <v>16</v>
      </c>
      <c r="I795" s="2" t="s">
        <v>13</v>
      </c>
      <c r="J795">
        <v>13</v>
      </c>
      <c r="K795">
        <f>IF(AND(Banking_Credit_Risk_Dirty[[#This Row],[Borrower_Credit_Score]]&gt;=300,Banking_Credit_Risk_Dirty[[#This Row],[Borrower_Credit_Score]]&lt;=850),Banking_Credit_Risk_Dirty[[#This Row],[Borrower_Credit_Score]],"")</f>
        <v>708</v>
      </c>
    </row>
    <row r="796" spans="1:11" x14ac:dyDescent="0.25">
      <c r="A796" s="2" t="s">
        <v>818</v>
      </c>
      <c r="B796" s="2" t="s">
        <v>43</v>
      </c>
      <c r="C796" s="1">
        <v>45410</v>
      </c>
      <c r="D796">
        <v>134564</v>
      </c>
      <c r="E796">
        <v>489</v>
      </c>
      <c r="F796">
        <v>0.46</v>
      </c>
      <c r="G796">
        <v>2</v>
      </c>
      <c r="H796" s="2" t="s">
        <v>27</v>
      </c>
      <c r="I796" s="2" t="s">
        <v>89</v>
      </c>
      <c r="J796">
        <v>28</v>
      </c>
      <c r="K796">
        <f>IF(AND(Banking_Credit_Risk_Dirty[[#This Row],[Borrower_Credit_Score]]&gt;=300,Banking_Credit_Risk_Dirty[[#This Row],[Borrower_Credit_Score]]&lt;=850),Banking_Credit_Risk_Dirty[[#This Row],[Borrower_Credit_Score]],"")</f>
        <v>489</v>
      </c>
    </row>
    <row r="797" spans="1:11" x14ac:dyDescent="0.25">
      <c r="A797" s="2" t="s">
        <v>819</v>
      </c>
      <c r="B797" s="2" t="s">
        <v>21</v>
      </c>
      <c r="C797" s="1">
        <v>45692</v>
      </c>
      <c r="D797">
        <v>69032</v>
      </c>
      <c r="E797">
        <v>694</v>
      </c>
      <c r="F797">
        <v>0.59</v>
      </c>
      <c r="G797">
        <v>0</v>
      </c>
      <c r="H797" s="2" t="s">
        <v>27</v>
      </c>
      <c r="I797" s="2" t="s">
        <v>17</v>
      </c>
      <c r="J797">
        <v>19</v>
      </c>
      <c r="K797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798" spans="1:11" x14ac:dyDescent="0.25">
      <c r="A798" s="2" t="s">
        <v>820</v>
      </c>
      <c r="B798" s="2" t="s">
        <v>43</v>
      </c>
      <c r="C798" s="1">
        <v>45765</v>
      </c>
      <c r="D798">
        <v>74198</v>
      </c>
      <c r="E798">
        <v>640</v>
      </c>
      <c r="F798">
        <v>0.36</v>
      </c>
      <c r="G798">
        <v>2</v>
      </c>
      <c r="H798" s="2" t="s">
        <v>41</v>
      </c>
      <c r="I798" s="2" t="s">
        <v>23</v>
      </c>
      <c r="J798">
        <v>16</v>
      </c>
      <c r="K798">
        <f>IF(AND(Banking_Credit_Risk_Dirty[[#This Row],[Borrower_Credit_Score]]&gt;=300,Banking_Credit_Risk_Dirty[[#This Row],[Borrower_Credit_Score]]&lt;=850),Banking_Credit_Risk_Dirty[[#This Row],[Borrower_Credit_Score]],"")</f>
        <v>640</v>
      </c>
    </row>
    <row r="799" spans="1:11" x14ac:dyDescent="0.25">
      <c r="A799" s="2" t="s">
        <v>821</v>
      </c>
      <c r="B799" s="2" t="s">
        <v>15</v>
      </c>
      <c r="C799" s="1">
        <v>45773</v>
      </c>
      <c r="D799">
        <v>117969</v>
      </c>
      <c r="E799">
        <v>754</v>
      </c>
      <c r="F799">
        <v>0.46</v>
      </c>
      <c r="G799">
        <v>0</v>
      </c>
      <c r="H799" s="2" t="s">
        <v>12</v>
      </c>
      <c r="I799" s="2" t="s">
        <v>13</v>
      </c>
      <c r="J799">
        <v>16</v>
      </c>
      <c r="K799">
        <f>IF(AND(Banking_Credit_Risk_Dirty[[#This Row],[Borrower_Credit_Score]]&gt;=300,Banking_Credit_Risk_Dirty[[#This Row],[Borrower_Credit_Score]]&lt;=850),Banking_Credit_Risk_Dirty[[#This Row],[Borrower_Credit_Score]],"")</f>
        <v>754</v>
      </c>
    </row>
    <row r="800" spans="1:11" x14ac:dyDescent="0.25">
      <c r="A800" s="2" t="s">
        <v>822</v>
      </c>
      <c r="B800" s="2" t="s">
        <v>15</v>
      </c>
      <c r="C800" s="1">
        <v>45586</v>
      </c>
      <c r="D800">
        <v>31556</v>
      </c>
      <c r="E800">
        <v>758</v>
      </c>
      <c r="F800">
        <v>0.61</v>
      </c>
      <c r="G800">
        <v>0</v>
      </c>
      <c r="H800" s="2" t="s">
        <v>41</v>
      </c>
      <c r="I800" s="2" t="s">
        <v>13</v>
      </c>
      <c r="J800">
        <v>22</v>
      </c>
      <c r="K800">
        <f>IF(AND(Banking_Credit_Risk_Dirty[[#This Row],[Borrower_Credit_Score]]&gt;=300,Banking_Credit_Risk_Dirty[[#This Row],[Borrower_Credit_Score]]&lt;=850),Banking_Credit_Risk_Dirty[[#This Row],[Borrower_Credit_Score]],"")</f>
        <v>758</v>
      </c>
    </row>
    <row r="801" spans="1:11" x14ac:dyDescent="0.25">
      <c r="A801" s="2" t="s">
        <v>823</v>
      </c>
      <c r="B801" s="2" t="s">
        <v>11</v>
      </c>
      <c r="C801" s="1">
        <v>45741</v>
      </c>
      <c r="D801">
        <v>124010</v>
      </c>
      <c r="E801">
        <v>780</v>
      </c>
      <c r="F801">
        <v>0.56000000000000005</v>
      </c>
      <c r="G801">
        <v>1</v>
      </c>
      <c r="H801" s="2" t="s">
        <v>16</v>
      </c>
      <c r="I801" s="2" t="s">
        <v>23</v>
      </c>
      <c r="J801">
        <v>17</v>
      </c>
      <c r="K801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802" spans="1:11" x14ac:dyDescent="0.25">
      <c r="A802" s="2" t="s">
        <v>824</v>
      </c>
      <c r="B802" s="2" t="s">
        <v>15</v>
      </c>
      <c r="C802" s="1">
        <v>45877</v>
      </c>
      <c r="D802">
        <v>5436</v>
      </c>
      <c r="E802">
        <v>793</v>
      </c>
      <c r="F802">
        <v>0.27</v>
      </c>
      <c r="G802">
        <v>0</v>
      </c>
      <c r="H802" s="2" t="s">
        <v>27</v>
      </c>
      <c r="I802" s="2" t="s">
        <v>13</v>
      </c>
      <c r="J802">
        <v>13</v>
      </c>
      <c r="K802">
        <f>IF(AND(Banking_Credit_Risk_Dirty[[#This Row],[Borrower_Credit_Score]]&gt;=300,Banking_Credit_Risk_Dirty[[#This Row],[Borrower_Credit_Score]]&lt;=850),Banking_Credit_Risk_Dirty[[#This Row],[Borrower_Credit_Score]],"")</f>
        <v>793</v>
      </c>
    </row>
    <row r="803" spans="1:11" x14ac:dyDescent="0.25">
      <c r="A803" s="2" t="s">
        <v>825</v>
      </c>
      <c r="B803" s="2" t="s">
        <v>15</v>
      </c>
      <c r="C803" s="1">
        <v>45862</v>
      </c>
      <c r="D803">
        <v>14001</v>
      </c>
      <c r="E803">
        <v>747</v>
      </c>
      <c r="F803">
        <v>0.31</v>
      </c>
      <c r="G803">
        <v>0</v>
      </c>
      <c r="H803" s="2" t="s">
        <v>41</v>
      </c>
      <c r="I803" s="2" t="s">
        <v>13</v>
      </c>
      <c r="J803">
        <v>13</v>
      </c>
      <c r="K803">
        <f>IF(AND(Banking_Credit_Risk_Dirty[[#This Row],[Borrower_Credit_Score]]&gt;=300,Banking_Credit_Risk_Dirty[[#This Row],[Borrower_Credit_Score]]&lt;=850),Banking_Credit_Risk_Dirty[[#This Row],[Borrower_Credit_Score]],"")</f>
        <v>747</v>
      </c>
    </row>
    <row r="804" spans="1:11" x14ac:dyDescent="0.25">
      <c r="A804" s="2" t="s">
        <v>826</v>
      </c>
      <c r="B804" s="2" t="s">
        <v>11</v>
      </c>
      <c r="C804" s="1">
        <v>45833</v>
      </c>
      <c r="D804">
        <v>142938</v>
      </c>
      <c r="E804">
        <v>828</v>
      </c>
      <c r="F804">
        <v>0.43</v>
      </c>
      <c r="G804">
        <v>0</v>
      </c>
      <c r="H804" s="2" t="s">
        <v>19</v>
      </c>
      <c r="I804" s="2" t="s">
        <v>13</v>
      </c>
      <c r="J804">
        <v>14</v>
      </c>
      <c r="K804">
        <f>IF(AND(Banking_Credit_Risk_Dirty[[#This Row],[Borrower_Credit_Score]]&gt;=300,Banking_Credit_Risk_Dirty[[#This Row],[Borrower_Credit_Score]]&lt;=850),Banking_Credit_Risk_Dirty[[#This Row],[Borrower_Credit_Score]],"")</f>
        <v>828</v>
      </c>
    </row>
    <row r="805" spans="1:11" x14ac:dyDescent="0.25">
      <c r="A805" s="2" t="s">
        <v>827</v>
      </c>
      <c r="B805" s="2" t="s">
        <v>43</v>
      </c>
      <c r="C805" s="1">
        <v>45805</v>
      </c>
      <c r="D805">
        <v>94281</v>
      </c>
      <c r="E805">
        <v>815</v>
      </c>
      <c r="F805">
        <v>0.46</v>
      </c>
      <c r="G805">
        <v>0</v>
      </c>
      <c r="H805" s="2" t="s">
        <v>22</v>
      </c>
      <c r="I805" s="2" t="s">
        <v>13</v>
      </c>
      <c r="J805">
        <v>15</v>
      </c>
      <c r="K805">
        <f>IF(AND(Banking_Credit_Risk_Dirty[[#This Row],[Borrower_Credit_Score]]&gt;=300,Banking_Credit_Risk_Dirty[[#This Row],[Borrower_Credit_Score]]&lt;=850),Banking_Credit_Risk_Dirty[[#This Row],[Borrower_Credit_Score]],"")</f>
        <v>815</v>
      </c>
    </row>
    <row r="806" spans="1:11" x14ac:dyDescent="0.25">
      <c r="A806" s="2" t="s">
        <v>828</v>
      </c>
      <c r="B806" s="2" t="s">
        <v>11</v>
      </c>
      <c r="C806" s="1">
        <v>45320</v>
      </c>
      <c r="D806">
        <v>144692</v>
      </c>
      <c r="E806">
        <v>771</v>
      </c>
      <c r="F806">
        <v>0.62</v>
      </c>
      <c r="G806">
        <v>0</v>
      </c>
      <c r="H806" s="2" t="s">
        <v>22</v>
      </c>
      <c r="I806" s="2" t="s">
        <v>13</v>
      </c>
      <c r="J806">
        <v>31</v>
      </c>
      <c r="K806">
        <f>IF(AND(Banking_Credit_Risk_Dirty[[#This Row],[Borrower_Credit_Score]]&gt;=300,Banking_Credit_Risk_Dirty[[#This Row],[Borrower_Credit_Score]]&lt;=850),Banking_Credit_Risk_Dirty[[#This Row],[Borrower_Credit_Score]],"")</f>
        <v>771</v>
      </c>
    </row>
    <row r="807" spans="1:11" x14ac:dyDescent="0.25">
      <c r="A807" s="2" t="s">
        <v>829</v>
      </c>
      <c r="B807" s="2" t="s">
        <v>15</v>
      </c>
      <c r="C807" s="1">
        <v>45339</v>
      </c>
      <c r="D807">
        <v>47688</v>
      </c>
      <c r="E807">
        <v>505</v>
      </c>
      <c r="F807">
        <v>0.55000000000000004</v>
      </c>
      <c r="G807">
        <v>3</v>
      </c>
      <c r="H807" s="2" t="s">
        <v>22</v>
      </c>
      <c r="I807" s="2" t="s">
        <v>23</v>
      </c>
      <c r="J807">
        <v>30</v>
      </c>
      <c r="K807">
        <f>IF(AND(Banking_Credit_Risk_Dirty[[#This Row],[Borrower_Credit_Score]]&gt;=300,Banking_Credit_Risk_Dirty[[#This Row],[Borrower_Credit_Score]]&lt;=850),Banking_Credit_Risk_Dirty[[#This Row],[Borrower_Credit_Score]],"")</f>
        <v>505</v>
      </c>
    </row>
    <row r="808" spans="1:11" x14ac:dyDescent="0.25">
      <c r="A808" s="2" t="s">
        <v>830</v>
      </c>
      <c r="B808" s="2" t="s">
        <v>21</v>
      </c>
      <c r="C808" s="1">
        <v>45622</v>
      </c>
      <c r="D808">
        <v>28093</v>
      </c>
      <c r="E808">
        <v>591</v>
      </c>
      <c r="F808">
        <v>0.65</v>
      </c>
      <c r="G808">
        <v>6</v>
      </c>
      <c r="H808" s="2" t="s">
        <v>22</v>
      </c>
      <c r="I808" s="2" t="s">
        <v>23</v>
      </c>
      <c r="J808">
        <v>21</v>
      </c>
      <c r="K808">
        <f>IF(AND(Banking_Credit_Risk_Dirty[[#This Row],[Borrower_Credit_Score]]&gt;=300,Banking_Credit_Risk_Dirty[[#This Row],[Borrower_Credit_Score]]&lt;=850),Banking_Credit_Risk_Dirty[[#This Row],[Borrower_Credit_Score]],"")</f>
        <v>591</v>
      </c>
    </row>
    <row r="809" spans="1:11" x14ac:dyDescent="0.25">
      <c r="A809" s="2" t="s">
        <v>831</v>
      </c>
      <c r="B809" s="2" t="s">
        <v>15</v>
      </c>
      <c r="C809" s="1">
        <v>45624</v>
      </c>
      <c r="D809">
        <v>31865</v>
      </c>
      <c r="E809">
        <v>0</v>
      </c>
      <c r="F809">
        <v>0.59</v>
      </c>
      <c r="G809">
        <v>3</v>
      </c>
      <c r="H809" s="2" t="s">
        <v>12</v>
      </c>
      <c r="I809" s="2" t="s">
        <v>89</v>
      </c>
      <c r="J809">
        <v>21</v>
      </c>
      <c r="K809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810" spans="1:11" x14ac:dyDescent="0.25">
      <c r="A810" s="2" t="s">
        <v>832</v>
      </c>
      <c r="B810" s="2" t="s">
        <v>11</v>
      </c>
      <c r="C810" s="1">
        <v>45686</v>
      </c>
      <c r="D810">
        <v>102705</v>
      </c>
      <c r="E810">
        <v>834</v>
      </c>
      <c r="F810">
        <v>0.44</v>
      </c>
      <c r="G810">
        <v>4</v>
      </c>
      <c r="H810" s="2" t="s">
        <v>16</v>
      </c>
      <c r="I810" s="2" t="s">
        <v>23</v>
      </c>
      <c r="J810">
        <v>19</v>
      </c>
      <c r="K810">
        <f>IF(AND(Banking_Credit_Risk_Dirty[[#This Row],[Borrower_Credit_Score]]&gt;=300,Banking_Credit_Risk_Dirty[[#This Row],[Borrower_Credit_Score]]&lt;=850),Banking_Credit_Risk_Dirty[[#This Row],[Borrower_Credit_Score]],"")</f>
        <v>834</v>
      </c>
    </row>
    <row r="811" spans="1:11" x14ac:dyDescent="0.25">
      <c r="A811" s="2" t="s">
        <v>833</v>
      </c>
      <c r="B811" s="2" t="s">
        <v>43</v>
      </c>
      <c r="C811" s="1">
        <v>45829</v>
      </c>
      <c r="D811">
        <v>148824</v>
      </c>
      <c r="E811">
        <v>698</v>
      </c>
      <c r="F811">
        <v>0.65</v>
      </c>
      <c r="G811">
        <v>0</v>
      </c>
      <c r="H811" s="2" t="s">
        <v>22</v>
      </c>
      <c r="I811" s="2" t="s">
        <v>13</v>
      </c>
      <c r="J811">
        <v>14</v>
      </c>
      <c r="K811">
        <f>IF(AND(Banking_Credit_Risk_Dirty[[#This Row],[Borrower_Credit_Score]]&gt;=300,Banking_Credit_Risk_Dirty[[#This Row],[Borrower_Credit_Score]]&lt;=850),Banking_Credit_Risk_Dirty[[#This Row],[Borrower_Credit_Score]],"")</f>
        <v>698</v>
      </c>
    </row>
    <row r="812" spans="1:11" x14ac:dyDescent="0.25">
      <c r="A812" s="2" t="s">
        <v>834</v>
      </c>
      <c r="B812" s="2" t="s">
        <v>11</v>
      </c>
      <c r="C812" s="1">
        <v>45559</v>
      </c>
      <c r="D812">
        <v>38048</v>
      </c>
      <c r="E812">
        <v>687</v>
      </c>
      <c r="F812">
        <v>0.28000000000000003</v>
      </c>
      <c r="G812">
        <v>0</v>
      </c>
      <c r="H812" s="2" t="s">
        <v>27</v>
      </c>
      <c r="I812" s="2" t="s">
        <v>13</v>
      </c>
      <c r="J812">
        <v>23</v>
      </c>
      <c r="K812">
        <f>IF(AND(Banking_Credit_Risk_Dirty[[#This Row],[Borrower_Credit_Score]]&gt;=300,Banking_Credit_Risk_Dirty[[#This Row],[Borrower_Credit_Score]]&lt;=850),Banking_Credit_Risk_Dirty[[#This Row],[Borrower_Credit_Score]],"")</f>
        <v>687</v>
      </c>
    </row>
    <row r="813" spans="1:11" x14ac:dyDescent="0.25">
      <c r="A813" s="2" t="s">
        <v>835</v>
      </c>
      <c r="B813" s="2" t="s">
        <v>43</v>
      </c>
      <c r="C813" s="1">
        <v>45846</v>
      </c>
      <c r="D813">
        <v>72808</v>
      </c>
      <c r="E813">
        <v>703</v>
      </c>
      <c r="F813">
        <v>0.22</v>
      </c>
      <c r="G813">
        <v>5</v>
      </c>
      <c r="H813" s="2" t="s">
        <v>12</v>
      </c>
      <c r="I813" s="2" t="s">
        <v>17</v>
      </c>
      <c r="J813">
        <v>14</v>
      </c>
      <c r="K813">
        <f>IF(AND(Banking_Credit_Risk_Dirty[[#This Row],[Borrower_Credit_Score]]&gt;=300,Banking_Credit_Risk_Dirty[[#This Row],[Borrower_Credit_Score]]&lt;=850),Banking_Credit_Risk_Dirty[[#This Row],[Borrower_Credit_Score]],"")</f>
        <v>703</v>
      </c>
    </row>
    <row r="814" spans="1:11" x14ac:dyDescent="0.25">
      <c r="A814" s="2" t="s">
        <v>836</v>
      </c>
      <c r="B814" s="2" t="s">
        <v>43</v>
      </c>
      <c r="C814" s="1">
        <v>45506</v>
      </c>
      <c r="D814">
        <v>109799</v>
      </c>
      <c r="E814">
        <v>751</v>
      </c>
      <c r="F814">
        <v>0.41</v>
      </c>
      <c r="G814">
        <v>0</v>
      </c>
      <c r="H814" s="2" t="s">
        <v>41</v>
      </c>
      <c r="I814" s="2" t="s">
        <v>13</v>
      </c>
      <c r="J814">
        <v>25</v>
      </c>
      <c r="K814">
        <f>IF(AND(Banking_Credit_Risk_Dirty[[#This Row],[Borrower_Credit_Score]]&gt;=300,Banking_Credit_Risk_Dirty[[#This Row],[Borrower_Credit_Score]]&lt;=850),Banking_Credit_Risk_Dirty[[#This Row],[Borrower_Credit_Score]],"")</f>
        <v>751</v>
      </c>
    </row>
    <row r="815" spans="1:11" x14ac:dyDescent="0.25">
      <c r="A815" s="2" t="s">
        <v>837</v>
      </c>
      <c r="B815" s="2" t="s">
        <v>43</v>
      </c>
      <c r="C815" s="1">
        <v>45931</v>
      </c>
      <c r="D815">
        <v>8650</v>
      </c>
      <c r="E815">
        <v>758</v>
      </c>
      <c r="F815">
        <v>0.38</v>
      </c>
      <c r="G815">
        <v>0</v>
      </c>
      <c r="H815" s="2" t="s">
        <v>16</v>
      </c>
      <c r="I815" s="2" t="s">
        <v>13</v>
      </c>
      <c r="J815">
        <v>11</v>
      </c>
      <c r="K815">
        <f>IF(AND(Banking_Credit_Risk_Dirty[[#This Row],[Borrower_Credit_Score]]&gt;=300,Banking_Credit_Risk_Dirty[[#This Row],[Borrower_Credit_Score]]&lt;=850),Banking_Credit_Risk_Dirty[[#This Row],[Borrower_Credit_Score]],"")</f>
        <v>758</v>
      </c>
    </row>
    <row r="816" spans="1:11" x14ac:dyDescent="0.25">
      <c r="A816" s="2" t="s">
        <v>838</v>
      </c>
      <c r="B816" s="2" t="s">
        <v>21</v>
      </c>
      <c r="C816" s="1">
        <v>45780</v>
      </c>
      <c r="D816">
        <v>100302</v>
      </c>
      <c r="E816">
        <v>544</v>
      </c>
      <c r="F816">
        <v>0.17</v>
      </c>
      <c r="G816">
        <v>2</v>
      </c>
      <c r="H816" s="2" t="s">
        <v>41</v>
      </c>
      <c r="I816" s="2" t="s">
        <v>23</v>
      </c>
      <c r="J816">
        <v>16</v>
      </c>
      <c r="K816">
        <f>IF(AND(Banking_Credit_Risk_Dirty[[#This Row],[Borrower_Credit_Score]]&gt;=300,Banking_Credit_Risk_Dirty[[#This Row],[Borrower_Credit_Score]]&lt;=850),Banking_Credit_Risk_Dirty[[#This Row],[Borrower_Credit_Score]],"")</f>
        <v>544</v>
      </c>
    </row>
    <row r="817" spans="1:11" x14ac:dyDescent="0.25">
      <c r="A817" s="2" t="s">
        <v>839</v>
      </c>
      <c r="B817" s="2" t="s">
        <v>15</v>
      </c>
      <c r="C817" s="1">
        <v>45949</v>
      </c>
      <c r="D817">
        <v>37090</v>
      </c>
      <c r="E817">
        <v>562</v>
      </c>
      <c r="F817">
        <v>0.62</v>
      </c>
      <c r="G817">
        <v>6</v>
      </c>
      <c r="H817" s="2" t="s">
        <v>12</v>
      </c>
      <c r="I817" s="2" t="s">
        <v>89</v>
      </c>
      <c r="J817">
        <v>10</v>
      </c>
      <c r="K817">
        <f>IF(AND(Banking_Credit_Risk_Dirty[[#This Row],[Borrower_Credit_Score]]&gt;=300,Banking_Credit_Risk_Dirty[[#This Row],[Borrower_Credit_Score]]&lt;=850),Banking_Credit_Risk_Dirty[[#This Row],[Borrower_Credit_Score]],"")</f>
        <v>562</v>
      </c>
    </row>
    <row r="818" spans="1:11" x14ac:dyDescent="0.25">
      <c r="A818" s="2" t="s">
        <v>840</v>
      </c>
      <c r="B818" s="2" t="s">
        <v>15</v>
      </c>
      <c r="C818" s="1">
        <v>45739</v>
      </c>
      <c r="D818">
        <v>123335</v>
      </c>
      <c r="E818">
        <v>482</v>
      </c>
      <c r="F818">
        <v>0.55000000000000004</v>
      </c>
      <c r="G818">
        <v>1</v>
      </c>
      <c r="H818" s="2" t="s">
        <v>22</v>
      </c>
      <c r="I818" s="2" t="s">
        <v>89</v>
      </c>
      <c r="J818">
        <v>17</v>
      </c>
      <c r="K818">
        <f>IF(AND(Banking_Credit_Risk_Dirty[[#This Row],[Borrower_Credit_Score]]&gt;=300,Banking_Credit_Risk_Dirty[[#This Row],[Borrower_Credit_Score]]&lt;=850),Banking_Credit_Risk_Dirty[[#This Row],[Borrower_Credit_Score]],"")</f>
        <v>482</v>
      </c>
    </row>
    <row r="819" spans="1:11" x14ac:dyDescent="0.25">
      <c r="A819" s="2" t="s">
        <v>841</v>
      </c>
      <c r="B819" s="2" t="s">
        <v>15</v>
      </c>
      <c r="C819" s="1">
        <v>45944</v>
      </c>
      <c r="D819">
        <v>90259</v>
      </c>
      <c r="E819">
        <v>520</v>
      </c>
      <c r="F819">
        <v>0.22</v>
      </c>
      <c r="G819">
        <v>0</v>
      </c>
      <c r="H819" s="2" t="s">
        <v>19</v>
      </c>
      <c r="I819" s="2" t="s">
        <v>13</v>
      </c>
      <c r="J819">
        <v>10</v>
      </c>
      <c r="K819">
        <f>IF(AND(Banking_Credit_Risk_Dirty[[#This Row],[Borrower_Credit_Score]]&gt;=300,Banking_Credit_Risk_Dirty[[#This Row],[Borrower_Credit_Score]]&lt;=850),Banking_Credit_Risk_Dirty[[#This Row],[Borrower_Credit_Score]],"")</f>
        <v>520</v>
      </c>
    </row>
    <row r="820" spans="1:11" x14ac:dyDescent="0.25">
      <c r="A820" s="2" t="s">
        <v>842</v>
      </c>
      <c r="B820" s="2" t="s">
        <v>15</v>
      </c>
      <c r="C820" s="1">
        <v>45324</v>
      </c>
      <c r="D820">
        <v>51006</v>
      </c>
      <c r="E820">
        <v>662</v>
      </c>
      <c r="F820">
        <v>0.28000000000000003</v>
      </c>
      <c r="G820">
        <v>0</v>
      </c>
      <c r="H820" s="2" t="s">
        <v>16</v>
      </c>
      <c r="I820" s="2" t="s">
        <v>13</v>
      </c>
      <c r="J820">
        <v>31</v>
      </c>
      <c r="K820">
        <f>IF(AND(Banking_Credit_Risk_Dirty[[#This Row],[Borrower_Credit_Score]]&gt;=300,Banking_Credit_Risk_Dirty[[#This Row],[Borrower_Credit_Score]]&lt;=850),Banking_Credit_Risk_Dirty[[#This Row],[Borrower_Credit_Score]],"")</f>
        <v>662</v>
      </c>
    </row>
    <row r="821" spans="1:11" x14ac:dyDescent="0.25">
      <c r="A821" s="2" t="s">
        <v>843</v>
      </c>
      <c r="B821" s="2" t="s">
        <v>11</v>
      </c>
      <c r="C821" s="1">
        <v>45516</v>
      </c>
      <c r="D821">
        <v>113419</v>
      </c>
      <c r="E821">
        <v>717</v>
      </c>
      <c r="F821">
        <v>0.3</v>
      </c>
      <c r="G821">
        <v>0</v>
      </c>
      <c r="H821" s="2" t="s">
        <v>19</v>
      </c>
      <c r="I821" s="2" t="s">
        <v>13</v>
      </c>
      <c r="J821">
        <v>24</v>
      </c>
      <c r="K821">
        <f>IF(AND(Banking_Credit_Risk_Dirty[[#This Row],[Borrower_Credit_Score]]&gt;=300,Banking_Credit_Risk_Dirty[[#This Row],[Borrower_Credit_Score]]&lt;=850),Banking_Credit_Risk_Dirty[[#This Row],[Borrower_Credit_Score]],"")</f>
        <v>717</v>
      </c>
    </row>
    <row r="822" spans="1:11" x14ac:dyDescent="0.25">
      <c r="A822" s="2" t="s">
        <v>844</v>
      </c>
      <c r="B822" s="2" t="s">
        <v>21</v>
      </c>
      <c r="C822" s="1">
        <v>45936</v>
      </c>
      <c r="D822">
        <v>7954</v>
      </c>
      <c r="E822">
        <v>680</v>
      </c>
      <c r="F822">
        <v>0.56999999999999995</v>
      </c>
      <c r="G822">
        <v>0</v>
      </c>
      <c r="H822" s="2" t="s">
        <v>22</v>
      </c>
      <c r="I822" s="2" t="s">
        <v>13</v>
      </c>
      <c r="J822">
        <v>11</v>
      </c>
      <c r="K822">
        <f>IF(AND(Banking_Credit_Risk_Dirty[[#This Row],[Borrower_Credit_Score]]&gt;=300,Banking_Credit_Risk_Dirty[[#This Row],[Borrower_Credit_Score]]&lt;=850),Banking_Credit_Risk_Dirty[[#This Row],[Borrower_Credit_Score]],"")</f>
        <v>680</v>
      </c>
    </row>
    <row r="823" spans="1:11" x14ac:dyDescent="0.25">
      <c r="A823" s="2" t="s">
        <v>845</v>
      </c>
      <c r="B823" s="2" t="s">
        <v>21</v>
      </c>
      <c r="C823" s="1">
        <v>45703</v>
      </c>
      <c r="D823">
        <v>50819</v>
      </c>
      <c r="E823">
        <v>621</v>
      </c>
      <c r="F823">
        <v>0.18</v>
      </c>
      <c r="G823">
        <v>5</v>
      </c>
      <c r="H823" s="2" t="s">
        <v>19</v>
      </c>
      <c r="I823" s="2" t="s">
        <v>17</v>
      </c>
      <c r="J823">
        <v>18</v>
      </c>
      <c r="K823">
        <f>IF(AND(Banking_Credit_Risk_Dirty[[#This Row],[Borrower_Credit_Score]]&gt;=300,Banking_Credit_Risk_Dirty[[#This Row],[Borrower_Credit_Score]]&lt;=850),Banking_Credit_Risk_Dirty[[#This Row],[Borrower_Credit_Score]],"")</f>
        <v>621</v>
      </c>
    </row>
    <row r="824" spans="1:11" x14ac:dyDescent="0.25">
      <c r="A824" s="2" t="s">
        <v>846</v>
      </c>
      <c r="B824" s="2" t="s">
        <v>15</v>
      </c>
      <c r="C824" s="1">
        <v>45814</v>
      </c>
      <c r="D824">
        <v>43908</v>
      </c>
      <c r="E824">
        <v>563</v>
      </c>
      <c r="F824">
        <v>0.6</v>
      </c>
      <c r="G824">
        <v>0</v>
      </c>
      <c r="H824" s="2" t="s">
        <v>41</v>
      </c>
      <c r="I824" s="2" t="s">
        <v>13</v>
      </c>
      <c r="J824">
        <v>15</v>
      </c>
      <c r="K824">
        <f>IF(AND(Banking_Credit_Risk_Dirty[[#This Row],[Borrower_Credit_Score]]&gt;=300,Banking_Credit_Risk_Dirty[[#This Row],[Borrower_Credit_Score]]&lt;=850),Banking_Credit_Risk_Dirty[[#This Row],[Borrower_Credit_Score]],"")</f>
        <v>563</v>
      </c>
    </row>
    <row r="825" spans="1:11" x14ac:dyDescent="0.25">
      <c r="A825" s="2" t="s">
        <v>847</v>
      </c>
      <c r="B825" s="2" t="s">
        <v>43</v>
      </c>
      <c r="C825" s="1">
        <v>45806</v>
      </c>
      <c r="D825">
        <v>88286</v>
      </c>
      <c r="E825">
        <v>547</v>
      </c>
      <c r="F825">
        <v>0.56999999999999995</v>
      </c>
      <c r="G825">
        <v>0</v>
      </c>
      <c r="H825" s="2" t="s">
        <v>19</v>
      </c>
      <c r="I825" s="2" t="s">
        <v>13</v>
      </c>
      <c r="J825">
        <v>15</v>
      </c>
      <c r="K825">
        <f>IF(AND(Banking_Credit_Risk_Dirty[[#This Row],[Borrower_Credit_Score]]&gt;=300,Banking_Credit_Risk_Dirty[[#This Row],[Borrower_Credit_Score]]&lt;=850),Banking_Credit_Risk_Dirty[[#This Row],[Borrower_Credit_Score]],"")</f>
        <v>547</v>
      </c>
    </row>
    <row r="826" spans="1:11" x14ac:dyDescent="0.25">
      <c r="A826" s="2" t="s">
        <v>848</v>
      </c>
      <c r="B826" s="2" t="s">
        <v>15</v>
      </c>
      <c r="C826" s="1">
        <v>45739</v>
      </c>
      <c r="D826">
        <v>73990</v>
      </c>
      <c r="E826">
        <v>545</v>
      </c>
      <c r="F826">
        <v>0.5</v>
      </c>
      <c r="G826">
        <v>2</v>
      </c>
      <c r="H826" s="2" t="s">
        <v>12</v>
      </c>
      <c r="I826" s="2" t="s">
        <v>23</v>
      </c>
      <c r="J826">
        <v>17</v>
      </c>
      <c r="K826">
        <f>IF(AND(Banking_Credit_Risk_Dirty[[#This Row],[Borrower_Credit_Score]]&gt;=300,Banking_Credit_Risk_Dirty[[#This Row],[Borrower_Credit_Score]]&lt;=850),Banking_Credit_Risk_Dirty[[#This Row],[Borrower_Credit_Score]],"")</f>
        <v>545</v>
      </c>
    </row>
    <row r="827" spans="1:11" x14ac:dyDescent="0.25">
      <c r="A827" s="2" t="s">
        <v>849</v>
      </c>
      <c r="B827" s="2" t="s">
        <v>15</v>
      </c>
      <c r="C827" s="1">
        <v>45576</v>
      </c>
      <c r="D827">
        <v>68347</v>
      </c>
      <c r="E827">
        <v>568</v>
      </c>
      <c r="F827">
        <v>0.5</v>
      </c>
      <c r="G827">
        <v>0</v>
      </c>
      <c r="H827" s="2" t="s">
        <v>16</v>
      </c>
      <c r="I827" s="2" t="s">
        <v>13</v>
      </c>
      <c r="J827">
        <v>22</v>
      </c>
      <c r="K827">
        <f>IF(AND(Banking_Credit_Risk_Dirty[[#This Row],[Borrower_Credit_Score]]&gt;=300,Banking_Credit_Risk_Dirty[[#This Row],[Borrower_Credit_Score]]&lt;=850),Banking_Credit_Risk_Dirty[[#This Row],[Borrower_Credit_Score]],"")</f>
        <v>568</v>
      </c>
    </row>
    <row r="828" spans="1:11" x14ac:dyDescent="0.25">
      <c r="A828" s="2" t="s">
        <v>850</v>
      </c>
      <c r="B828" s="2" t="s">
        <v>43</v>
      </c>
      <c r="C828" s="1">
        <v>45843</v>
      </c>
      <c r="D828">
        <v>29015</v>
      </c>
      <c r="E828">
        <v>622</v>
      </c>
      <c r="F828">
        <v>0.63</v>
      </c>
      <c r="G828">
        <v>6</v>
      </c>
      <c r="H828" s="2" t="s">
        <v>41</v>
      </c>
      <c r="I828" s="2" t="s">
        <v>23</v>
      </c>
      <c r="J828">
        <v>14</v>
      </c>
      <c r="K828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829" spans="1:11" x14ac:dyDescent="0.25">
      <c r="A829" s="2" t="s">
        <v>851</v>
      </c>
      <c r="B829" s="2" t="s">
        <v>15</v>
      </c>
      <c r="C829" s="1">
        <v>45441</v>
      </c>
      <c r="D829">
        <v>68492</v>
      </c>
      <c r="E829">
        <v>842</v>
      </c>
      <c r="F829">
        <v>0.33</v>
      </c>
      <c r="G829">
        <v>0</v>
      </c>
      <c r="H829" s="2" t="s">
        <v>19</v>
      </c>
      <c r="I829" s="2" t="s">
        <v>13</v>
      </c>
      <c r="J829">
        <v>27</v>
      </c>
      <c r="K829">
        <f>IF(AND(Banking_Credit_Risk_Dirty[[#This Row],[Borrower_Credit_Score]]&gt;=300,Banking_Credit_Risk_Dirty[[#This Row],[Borrower_Credit_Score]]&lt;=850),Banking_Credit_Risk_Dirty[[#This Row],[Borrower_Credit_Score]],"")</f>
        <v>842</v>
      </c>
    </row>
    <row r="830" spans="1:11" x14ac:dyDescent="0.25">
      <c r="A830" s="2" t="s">
        <v>852</v>
      </c>
      <c r="B830" s="2" t="s">
        <v>21</v>
      </c>
      <c r="C830" s="1">
        <v>45963</v>
      </c>
      <c r="D830">
        <v>61590</v>
      </c>
      <c r="E830">
        <v>553</v>
      </c>
      <c r="F830">
        <v>0.23</v>
      </c>
      <c r="G830">
        <v>0</v>
      </c>
      <c r="H830" s="2" t="s">
        <v>41</v>
      </c>
      <c r="I830" s="2" t="s">
        <v>13</v>
      </c>
      <c r="J830">
        <v>10</v>
      </c>
      <c r="K830">
        <f>IF(AND(Banking_Credit_Risk_Dirty[[#This Row],[Borrower_Credit_Score]]&gt;=300,Banking_Credit_Risk_Dirty[[#This Row],[Borrower_Credit_Score]]&lt;=850),Banking_Credit_Risk_Dirty[[#This Row],[Borrower_Credit_Score]],"")</f>
        <v>553</v>
      </c>
    </row>
    <row r="831" spans="1:11" x14ac:dyDescent="0.25">
      <c r="A831" s="2" t="s">
        <v>853</v>
      </c>
      <c r="B831" s="2" t="s">
        <v>21</v>
      </c>
      <c r="C831" s="1">
        <v>45732</v>
      </c>
      <c r="D831">
        <v>99089</v>
      </c>
      <c r="E831">
        <v>613</v>
      </c>
      <c r="F831">
        <v>0.41</v>
      </c>
      <c r="G831">
        <v>0</v>
      </c>
      <c r="H831" s="2" t="s">
        <v>19</v>
      </c>
      <c r="I831" s="2" t="s">
        <v>13</v>
      </c>
      <c r="J831">
        <v>17</v>
      </c>
      <c r="K831">
        <f>IF(AND(Banking_Credit_Risk_Dirty[[#This Row],[Borrower_Credit_Score]]&gt;=300,Banking_Credit_Risk_Dirty[[#This Row],[Borrower_Credit_Score]]&lt;=850),Banking_Credit_Risk_Dirty[[#This Row],[Borrower_Credit_Score]],"")</f>
        <v>613</v>
      </c>
    </row>
    <row r="832" spans="1:11" x14ac:dyDescent="0.25">
      <c r="A832" s="2" t="s">
        <v>854</v>
      </c>
      <c r="B832" s="2" t="s">
        <v>15</v>
      </c>
      <c r="C832" s="1">
        <v>45717</v>
      </c>
      <c r="D832">
        <v>136677</v>
      </c>
      <c r="E832">
        <v>611</v>
      </c>
      <c r="F832">
        <v>0.63</v>
      </c>
      <c r="G832">
        <v>0</v>
      </c>
      <c r="H832" s="2" t="s">
        <v>12</v>
      </c>
      <c r="I832" s="2" t="s">
        <v>13</v>
      </c>
      <c r="J832">
        <v>18</v>
      </c>
      <c r="K832">
        <f>IF(AND(Banking_Credit_Risk_Dirty[[#This Row],[Borrower_Credit_Score]]&gt;=300,Banking_Credit_Risk_Dirty[[#This Row],[Borrower_Credit_Score]]&lt;=850),Banking_Credit_Risk_Dirty[[#This Row],[Borrower_Credit_Score]],"")</f>
        <v>611</v>
      </c>
    </row>
    <row r="833" spans="1:11" x14ac:dyDescent="0.25">
      <c r="A833" s="2" t="s">
        <v>855</v>
      </c>
      <c r="B833" s="2" t="s">
        <v>21</v>
      </c>
      <c r="C833" s="1">
        <v>45509</v>
      </c>
      <c r="D833">
        <v>51330</v>
      </c>
      <c r="E833">
        <v>736</v>
      </c>
      <c r="F833">
        <v>0.4</v>
      </c>
      <c r="G833">
        <v>5</v>
      </c>
      <c r="H833" s="2" t="s">
        <v>16</v>
      </c>
      <c r="I833" s="2" t="s">
        <v>17</v>
      </c>
      <c r="J833">
        <v>25</v>
      </c>
      <c r="K833">
        <f>IF(AND(Banking_Credit_Risk_Dirty[[#This Row],[Borrower_Credit_Score]]&gt;=300,Banking_Credit_Risk_Dirty[[#This Row],[Borrower_Credit_Score]]&lt;=850),Banking_Credit_Risk_Dirty[[#This Row],[Borrower_Credit_Score]],"")</f>
        <v>736</v>
      </c>
    </row>
    <row r="834" spans="1:11" x14ac:dyDescent="0.25">
      <c r="A834" s="2" t="s">
        <v>856</v>
      </c>
      <c r="B834" s="2" t="s">
        <v>43</v>
      </c>
      <c r="C834" s="1">
        <v>45393</v>
      </c>
      <c r="D834">
        <v>86685</v>
      </c>
      <c r="E834">
        <v>732</v>
      </c>
      <c r="F834">
        <v>0.19</v>
      </c>
      <c r="G834">
        <v>3</v>
      </c>
      <c r="H834" s="2" t="s">
        <v>19</v>
      </c>
      <c r="I834" s="2" t="s">
        <v>17</v>
      </c>
      <c r="J834">
        <v>28</v>
      </c>
      <c r="K834">
        <f>IF(AND(Banking_Credit_Risk_Dirty[[#This Row],[Borrower_Credit_Score]]&gt;=300,Banking_Credit_Risk_Dirty[[#This Row],[Borrower_Credit_Score]]&lt;=850),Banking_Credit_Risk_Dirty[[#This Row],[Borrower_Credit_Score]],"")</f>
        <v>732</v>
      </c>
    </row>
    <row r="835" spans="1:11" x14ac:dyDescent="0.25">
      <c r="A835" s="2" t="s">
        <v>857</v>
      </c>
      <c r="B835" s="2" t="s">
        <v>15</v>
      </c>
      <c r="C835" s="1">
        <v>45351</v>
      </c>
      <c r="D835">
        <v>75465</v>
      </c>
      <c r="E835">
        <v>714</v>
      </c>
      <c r="F835">
        <v>0.34</v>
      </c>
      <c r="G835">
        <v>0</v>
      </c>
      <c r="H835" s="2" t="s">
        <v>27</v>
      </c>
      <c r="I835" s="2" t="s">
        <v>13</v>
      </c>
      <c r="J835">
        <v>30</v>
      </c>
      <c r="K835">
        <f>IF(AND(Banking_Credit_Risk_Dirty[[#This Row],[Borrower_Credit_Score]]&gt;=300,Banking_Credit_Risk_Dirty[[#This Row],[Borrower_Credit_Score]]&lt;=850),Banking_Credit_Risk_Dirty[[#This Row],[Borrower_Credit_Score]],"")</f>
        <v>714</v>
      </c>
    </row>
    <row r="836" spans="1:11" x14ac:dyDescent="0.25">
      <c r="A836" s="2" t="s">
        <v>858</v>
      </c>
      <c r="B836" s="2" t="s">
        <v>15</v>
      </c>
      <c r="C836" s="1">
        <v>45975</v>
      </c>
      <c r="D836">
        <v>20811</v>
      </c>
      <c r="E836">
        <v>744</v>
      </c>
      <c r="F836">
        <v>0.56999999999999995</v>
      </c>
      <c r="G836">
        <v>0</v>
      </c>
      <c r="H836" s="2" t="s">
        <v>19</v>
      </c>
      <c r="I836" s="2" t="s">
        <v>13</v>
      </c>
      <c r="J836">
        <v>9</v>
      </c>
      <c r="K836">
        <f>IF(AND(Banking_Credit_Risk_Dirty[[#This Row],[Borrower_Credit_Score]]&gt;=300,Banking_Credit_Risk_Dirty[[#This Row],[Borrower_Credit_Score]]&lt;=850),Banking_Credit_Risk_Dirty[[#This Row],[Borrower_Credit_Score]],"")</f>
        <v>744</v>
      </c>
    </row>
    <row r="837" spans="1:11" x14ac:dyDescent="0.25">
      <c r="A837" s="2" t="s">
        <v>859</v>
      </c>
      <c r="B837" s="2" t="s">
        <v>21</v>
      </c>
      <c r="C837" s="1">
        <v>45429</v>
      </c>
      <c r="D837">
        <v>121111</v>
      </c>
      <c r="E837">
        <v>598</v>
      </c>
      <c r="F837">
        <v>0.23</v>
      </c>
      <c r="G837">
        <v>0</v>
      </c>
      <c r="H837" s="2" t="s">
        <v>41</v>
      </c>
      <c r="I837" s="2" t="s">
        <v>13</v>
      </c>
      <c r="J837">
        <v>27</v>
      </c>
      <c r="K837">
        <f>IF(AND(Banking_Credit_Risk_Dirty[[#This Row],[Borrower_Credit_Score]]&gt;=300,Banking_Credit_Risk_Dirty[[#This Row],[Borrower_Credit_Score]]&lt;=850),Banking_Credit_Risk_Dirty[[#This Row],[Borrower_Credit_Score]],"")</f>
        <v>598</v>
      </c>
    </row>
    <row r="838" spans="1:11" x14ac:dyDescent="0.25">
      <c r="A838" s="2" t="s">
        <v>860</v>
      </c>
      <c r="B838" s="2" t="s">
        <v>21</v>
      </c>
      <c r="C838" s="1">
        <v>45442</v>
      </c>
      <c r="D838">
        <v>14713</v>
      </c>
      <c r="E838">
        <v>498</v>
      </c>
      <c r="F838">
        <v>0.56000000000000005</v>
      </c>
      <c r="G838">
        <v>3</v>
      </c>
      <c r="H838" s="2" t="s">
        <v>16</v>
      </c>
      <c r="I838" s="2" t="s">
        <v>23</v>
      </c>
      <c r="J838">
        <v>27</v>
      </c>
      <c r="K838">
        <f>IF(AND(Banking_Credit_Risk_Dirty[[#This Row],[Borrower_Credit_Score]]&gt;=300,Banking_Credit_Risk_Dirty[[#This Row],[Borrower_Credit_Score]]&lt;=850),Banking_Credit_Risk_Dirty[[#This Row],[Borrower_Credit_Score]],"")</f>
        <v>498</v>
      </c>
    </row>
    <row r="839" spans="1:11" x14ac:dyDescent="0.25">
      <c r="A839" s="2" t="s">
        <v>861</v>
      </c>
      <c r="B839" s="2" t="s">
        <v>21</v>
      </c>
      <c r="C839" s="1">
        <v>45489</v>
      </c>
      <c r="D839">
        <v>20421</v>
      </c>
      <c r="E839">
        <v>593</v>
      </c>
      <c r="F839">
        <v>0.39</v>
      </c>
      <c r="G839">
        <v>6</v>
      </c>
      <c r="H839" s="2" t="s">
        <v>12</v>
      </c>
      <c r="I839" s="2" t="s">
        <v>23</v>
      </c>
      <c r="J839">
        <v>25</v>
      </c>
      <c r="K839">
        <f>IF(AND(Banking_Credit_Risk_Dirty[[#This Row],[Borrower_Credit_Score]]&gt;=300,Banking_Credit_Risk_Dirty[[#This Row],[Borrower_Credit_Score]]&lt;=850),Banking_Credit_Risk_Dirty[[#This Row],[Borrower_Credit_Score]],"")</f>
        <v>593</v>
      </c>
    </row>
    <row r="840" spans="1:11" x14ac:dyDescent="0.25">
      <c r="A840" s="2" t="s">
        <v>862</v>
      </c>
      <c r="B840" s="2" t="s">
        <v>21</v>
      </c>
      <c r="C840" s="1">
        <v>45332</v>
      </c>
      <c r="D840">
        <v>95856</v>
      </c>
      <c r="E840">
        <v>633</v>
      </c>
      <c r="F840">
        <v>0.49</v>
      </c>
      <c r="G840">
        <v>0</v>
      </c>
      <c r="H840" s="2" t="s">
        <v>19</v>
      </c>
      <c r="I840" s="2" t="s">
        <v>13</v>
      </c>
      <c r="J840">
        <v>30</v>
      </c>
      <c r="K840">
        <f>IF(AND(Banking_Credit_Risk_Dirty[[#This Row],[Borrower_Credit_Score]]&gt;=300,Banking_Credit_Risk_Dirty[[#This Row],[Borrower_Credit_Score]]&lt;=850),Banking_Credit_Risk_Dirty[[#This Row],[Borrower_Credit_Score]],"")</f>
        <v>633</v>
      </c>
    </row>
    <row r="841" spans="1:11" x14ac:dyDescent="0.25">
      <c r="A841" s="2" t="s">
        <v>863</v>
      </c>
      <c r="B841" s="2" t="s">
        <v>15</v>
      </c>
      <c r="C841" s="1">
        <v>45486</v>
      </c>
      <c r="D841">
        <v>124318</v>
      </c>
      <c r="E841">
        <v>477</v>
      </c>
      <c r="F841">
        <v>0.28000000000000003</v>
      </c>
      <c r="G841">
        <v>2</v>
      </c>
      <c r="H841" s="2" t="s">
        <v>41</v>
      </c>
      <c r="I841" s="2" t="s">
        <v>23</v>
      </c>
      <c r="J841">
        <v>25</v>
      </c>
      <c r="K841">
        <f>IF(AND(Banking_Credit_Risk_Dirty[[#This Row],[Borrower_Credit_Score]]&gt;=300,Banking_Credit_Risk_Dirty[[#This Row],[Borrower_Credit_Score]]&lt;=850),Banking_Credit_Risk_Dirty[[#This Row],[Borrower_Credit_Score]],"")</f>
        <v>477</v>
      </c>
    </row>
    <row r="842" spans="1:11" x14ac:dyDescent="0.25">
      <c r="A842" s="2" t="s">
        <v>864</v>
      </c>
      <c r="B842" s="2" t="s">
        <v>15</v>
      </c>
      <c r="C842" s="1">
        <v>45689</v>
      </c>
      <c r="D842">
        <v>16926</v>
      </c>
      <c r="E842">
        <v>699</v>
      </c>
      <c r="F842">
        <v>0.65</v>
      </c>
      <c r="G842">
        <v>6</v>
      </c>
      <c r="H842" s="2" t="s">
        <v>12</v>
      </c>
      <c r="I842" s="2" t="s">
        <v>23</v>
      </c>
      <c r="J842">
        <v>19</v>
      </c>
      <c r="K842">
        <f>IF(AND(Banking_Credit_Risk_Dirty[[#This Row],[Borrower_Credit_Score]]&gt;=300,Banking_Credit_Risk_Dirty[[#This Row],[Borrower_Credit_Score]]&lt;=850),Banking_Credit_Risk_Dirty[[#This Row],[Borrower_Credit_Score]],"")</f>
        <v>699</v>
      </c>
    </row>
    <row r="843" spans="1:11" x14ac:dyDescent="0.25">
      <c r="A843" s="2" t="s">
        <v>865</v>
      </c>
      <c r="B843" s="2" t="s">
        <v>15</v>
      </c>
      <c r="C843" s="1">
        <v>45853</v>
      </c>
      <c r="D843">
        <v>24243</v>
      </c>
      <c r="E843">
        <v>450</v>
      </c>
      <c r="F843">
        <v>0.48</v>
      </c>
      <c r="G843">
        <v>0</v>
      </c>
      <c r="H843" s="2" t="s">
        <v>27</v>
      </c>
      <c r="I843" s="2" t="s">
        <v>13</v>
      </c>
      <c r="J843">
        <v>13</v>
      </c>
      <c r="K843">
        <f>IF(AND(Banking_Credit_Risk_Dirty[[#This Row],[Borrower_Credit_Score]]&gt;=300,Banking_Credit_Risk_Dirty[[#This Row],[Borrower_Credit_Score]]&lt;=850),Banking_Credit_Risk_Dirty[[#This Row],[Borrower_Credit_Score]],"")</f>
        <v>450</v>
      </c>
    </row>
    <row r="844" spans="1:11" x14ac:dyDescent="0.25">
      <c r="A844" s="2" t="s">
        <v>866</v>
      </c>
      <c r="B844" s="2" t="s">
        <v>21</v>
      </c>
      <c r="C844" s="1">
        <v>45988</v>
      </c>
      <c r="D844">
        <v>96962</v>
      </c>
      <c r="E844">
        <v>482</v>
      </c>
      <c r="F844">
        <v>0.56000000000000005</v>
      </c>
      <c r="G844">
        <v>0</v>
      </c>
      <c r="H844" s="2" t="s">
        <v>22</v>
      </c>
      <c r="I844" s="2" t="s">
        <v>23</v>
      </c>
      <c r="J844">
        <v>9</v>
      </c>
      <c r="K844">
        <f>IF(AND(Banking_Credit_Risk_Dirty[[#This Row],[Borrower_Credit_Score]]&gt;=300,Banking_Credit_Risk_Dirty[[#This Row],[Borrower_Credit_Score]]&lt;=850),Banking_Credit_Risk_Dirty[[#This Row],[Borrower_Credit_Score]],"")</f>
        <v>482</v>
      </c>
    </row>
    <row r="845" spans="1:11" x14ac:dyDescent="0.25">
      <c r="A845" s="2" t="s">
        <v>867</v>
      </c>
      <c r="B845" s="2" t="s">
        <v>11</v>
      </c>
      <c r="C845" s="1">
        <v>45653</v>
      </c>
      <c r="D845">
        <v>37874</v>
      </c>
      <c r="E845">
        <v>468</v>
      </c>
      <c r="F845">
        <v>0.21</v>
      </c>
      <c r="G845">
        <v>0</v>
      </c>
      <c r="H845" s="2" t="s">
        <v>27</v>
      </c>
      <c r="I845" s="2" t="s">
        <v>13</v>
      </c>
      <c r="J845">
        <v>20</v>
      </c>
      <c r="K845">
        <f>IF(AND(Banking_Credit_Risk_Dirty[[#This Row],[Borrower_Credit_Score]]&gt;=300,Banking_Credit_Risk_Dirty[[#This Row],[Borrower_Credit_Score]]&lt;=850),Banking_Credit_Risk_Dirty[[#This Row],[Borrower_Credit_Score]],"")</f>
        <v>468</v>
      </c>
    </row>
    <row r="846" spans="1:11" x14ac:dyDescent="0.25">
      <c r="A846" s="2" t="s">
        <v>868</v>
      </c>
      <c r="B846" s="2" t="s">
        <v>21</v>
      </c>
      <c r="C846" s="1">
        <v>45836</v>
      </c>
      <c r="D846">
        <v>84224</v>
      </c>
      <c r="E846">
        <v>691</v>
      </c>
      <c r="F846">
        <v>0.44</v>
      </c>
      <c r="G846">
        <v>5</v>
      </c>
      <c r="H846" s="2" t="s">
        <v>12</v>
      </c>
      <c r="I846" s="2" t="s">
        <v>17</v>
      </c>
      <c r="J846">
        <v>14</v>
      </c>
      <c r="K846">
        <f>IF(AND(Banking_Credit_Risk_Dirty[[#This Row],[Borrower_Credit_Score]]&gt;=300,Banking_Credit_Risk_Dirty[[#This Row],[Borrower_Credit_Score]]&lt;=850),Banking_Credit_Risk_Dirty[[#This Row],[Borrower_Credit_Score]],"")</f>
        <v>691</v>
      </c>
    </row>
    <row r="847" spans="1:11" x14ac:dyDescent="0.25">
      <c r="A847" s="2" t="s">
        <v>869</v>
      </c>
      <c r="B847" s="2" t="s">
        <v>15</v>
      </c>
      <c r="C847" s="1">
        <v>45989</v>
      </c>
      <c r="D847">
        <v>124914</v>
      </c>
      <c r="E847">
        <v>582</v>
      </c>
      <c r="F847">
        <v>0.6</v>
      </c>
      <c r="G847">
        <v>0</v>
      </c>
      <c r="H847" s="2" t="s">
        <v>12</v>
      </c>
      <c r="I847" s="2" t="s">
        <v>13</v>
      </c>
      <c r="J847">
        <v>9</v>
      </c>
      <c r="K847">
        <f>IF(AND(Banking_Credit_Risk_Dirty[[#This Row],[Borrower_Credit_Score]]&gt;=300,Banking_Credit_Risk_Dirty[[#This Row],[Borrower_Credit_Score]]&lt;=850),Banking_Credit_Risk_Dirty[[#This Row],[Borrower_Credit_Score]],"")</f>
        <v>582</v>
      </c>
    </row>
    <row r="848" spans="1:11" x14ac:dyDescent="0.25">
      <c r="A848" s="2" t="s">
        <v>870</v>
      </c>
      <c r="B848" s="2" t="s">
        <v>21</v>
      </c>
      <c r="C848" s="1">
        <v>45420</v>
      </c>
      <c r="D848">
        <v>124896</v>
      </c>
      <c r="E848">
        <v>585</v>
      </c>
      <c r="F848">
        <v>0.47</v>
      </c>
      <c r="G848">
        <v>0</v>
      </c>
      <c r="H848" s="2" t="s">
        <v>19</v>
      </c>
      <c r="I848" s="2" t="s">
        <v>13</v>
      </c>
      <c r="J848">
        <v>28</v>
      </c>
      <c r="K848">
        <f>IF(AND(Banking_Credit_Risk_Dirty[[#This Row],[Borrower_Credit_Score]]&gt;=300,Banking_Credit_Risk_Dirty[[#This Row],[Borrower_Credit_Score]]&lt;=850),Banking_Credit_Risk_Dirty[[#This Row],[Borrower_Credit_Score]],"")</f>
        <v>585</v>
      </c>
    </row>
    <row r="849" spans="1:11" x14ac:dyDescent="0.25">
      <c r="A849" s="2" t="s">
        <v>871</v>
      </c>
      <c r="B849" s="2" t="s">
        <v>15</v>
      </c>
      <c r="C849" s="1">
        <v>45783</v>
      </c>
      <c r="D849">
        <v>11086</v>
      </c>
      <c r="E849">
        <v>604</v>
      </c>
      <c r="F849">
        <v>0.52</v>
      </c>
      <c r="G849">
        <v>0</v>
      </c>
      <c r="H849" s="2" t="s">
        <v>19</v>
      </c>
      <c r="I849" s="2" t="s">
        <v>13</v>
      </c>
      <c r="J849">
        <v>16</v>
      </c>
      <c r="K849">
        <f>IF(AND(Banking_Credit_Risk_Dirty[[#This Row],[Borrower_Credit_Score]]&gt;=300,Banking_Credit_Risk_Dirty[[#This Row],[Borrower_Credit_Score]]&lt;=850),Banking_Credit_Risk_Dirty[[#This Row],[Borrower_Credit_Score]],"")</f>
        <v>604</v>
      </c>
    </row>
    <row r="850" spans="1:11" x14ac:dyDescent="0.25">
      <c r="A850" s="2" t="s">
        <v>872</v>
      </c>
      <c r="B850" s="2" t="s">
        <v>15</v>
      </c>
      <c r="C850" s="1">
        <v>45798</v>
      </c>
      <c r="D850">
        <v>141353</v>
      </c>
      <c r="E850">
        <v>549</v>
      </c>
      <c r="F850">
        <v>0.51</v>
      </c>
      <c r="G850">
        <v>6</v>
      </c>
      <c r="H850" s="2" t="s">
        <v>12</v>
      </c>
      <c r="I850" s="2" t="s">
        <v>89</v>
      </c>
      <c r="J850">
        <v>15</v>
      </c>
      <c r="K850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851" spans="1:11" x14ac:dyDescent="0.25">
      <c r="A851" s="2" t="s">
        <v>873</v>
      </c>
      <c r="B851" s="2" t="s">
        <v>43</v>
      </c>
      <c r="C851" s="1">
        <v>45396</v>
      </c>
      <c r="D851">
        <v>33980</v>
      </c>
      <c r="E851">
        <v>752</v>
      </c>
      <c r="F851">
        <v>0.64</v>
      </c>
      <c r="G851">
        <v>1</v>
      </c>
      <c r="H851" s="2" t="s">
        <v>12</v>
      </c>
      <c r="I851" s="2" t="s">
        <v>17</v>
      </c>
      <c r="J851">
        <v>28</v>
      </c>
      <c r="K851">
        <f>IF(AND(Banking_Credit_Risk_Dirty[[#This Row],[Borrower_Credit_Score]]&gt;=300,Banking_Credit_Risk_Dirty[[#This Row],[Borrower_Credit_Score]]&lt;=850),Banking_Credit_Risk_Dirty[[#This Row],[Borrower_Credit_Score]],"")</f>
        <v>752</v>
      </c>
    </row>
    <row r="852" spans="1:11" x14ac:dyDescent="0.25">
      <c r="A852" s="2" t="s">
        <v>874</v>
      </c>
      <c r="B852" s="2" t="s">
        <v>15</v>
      </c>
      <c r="C852" s="1">
        <v>45795</v>
      </c>
      <c r="D852">
        <v>8585</v>
      </c>
      <c r="E852">
        <v>803</v>
      </c>
      <c r="F852">
        <v>0.17</v>
      </c>
      <c r="G852">
        <v>0</v>
      </c>
      <c r="H852" s="2" t="s">
        <v>19</v>
      </c>
      <c r="I852" s="2" t="s">
        <v>13</v>
      </c>
      <c r="J852">
        <v>15</v>
      </c>
      <c r="K852">
        <f>IF(AND(Banking_Credit_Risk_Dirty[[#This Row],[Borrower_Credit_Score]]&gt;=300,Banking_Credit_Risk_Dirty[[#This Row],[Borrower_Credit_Score]]&lt;=850),Banking_Credit_Risk_Dirty[[#This Row],[Borrower_Credit_Score]],"")</f>
        <v>803</v>
      </c>
    </row>
    <row r="853" spans="1:11" x14ac:dyDescent="0.25">
      <c r="A853" s="2" t="s">
        <v>875</v>
      </c>
      <c r="B853" s="2" t="s">
        <v>11</v>
      </c>
      <c r="C853" s="1">
        <v>45526</v>
      </c>
      <c r="D853">
        <v>49800</v>
      </c>
      <c r="E853">
        <v>523</v>
      </c>
      <c r="F853">
        <v>0.23</v>
      </c>
      <c r="G853">
        <v>0</v>
      </c>
      <c r="H853" s="2" t="s">
        <v>16</v>
      </c>
      <c r="I853" s="2" t="s">
        <v>13</v>
      </c>
      <c r="J853">
        <v>24</v>
      </c>
      <c r="K853">
        <f>IF(AND(Banking_Credit_Risk_Dirty[[#This Row],[Borrower_Credit_Score]]&gt;=300,Banking_Credit_Risk_Dirty[[#This Row],[Borrower_Credit_Score]]&lt;=850),Banking_Credit_Risk_Dirty[[#This Row],[Borrower_Credit_Score]],"")</f>
        <v>523</v>
      </c>
    </row>
    <row r="854" spans="1:11" x14ac:dyDescent="0.25">
      <c r="A854" s="2" t="s">
        <v>876</v>
      </c>
      <c r="B854" s="2" t="s">
        <v>21</v>
      </c>
      <c r="C854" s="1">
        <v>45598</v>
      </c>
      <c r="D854">
        <v>88552</v>
      </c>
      <c r="E854">
        <v>843</v>
      </c>
      <c r="F854">
        <v>0.53</v>
      </c>
      <c r="G854">
        <v>2</v>
      </c>
      <c r="H854" s="2" t="s">
        <v>41</v>
      </c>
      <c r="I854" s="2" t="s">
        <v>23</v>
      </c>
      <c r="J854">
        <v>22</v>
      </c>
      <c r="K854">
        <f>IF(AND(Banking_Credit_Risk_Dirty[[#This Row],[Borrower_Credit_Score]]&gt;=300,Banking_Credit_Risk_Dirty[[#This Row],[Borrower_Credit_Score]]&lt;=850),Banking_Credit_Risk_Dirty[[#This Row],[Borrower_Credit_Score]],"")</f>
        <v>843</v>
      </c>
    </row>
    <row r="855" spans="1:11" x14ac:dyDescent="0.25">
      <c r="A855" s="2" t="s">
        <v>877</v>
      </c>
      <c r="B855" s="2" t="s">
        <v>11</v>
      </c>
      <c r="C855" s="1">
        <v>45356</v>
      </c>
      <c r="D855">
        <v>35770</v>
      </c>
      <c r="E855">
        <v>763</v>
      </c>
      <c r="F855">
        <v>0.18</v>
      </c>
      <c r="G855">
        <v>0</v>
      </c>
      <c r="H855" s="2" t="s">
        <v>22</v>
      </c>
      <c r="I855" s="2" t="s">
        <v>13</v>
      </c>
      <c r="J855">
        <v>30</v>
      </c>
      <c r="K855">
        <f>IF(AND(Banking_Credit_Risk_Dirty[[#This Row],[Borrower_Credit_Score]]&gt;=300,Banking_Credit_Risk_Dirty[[#This Row],[Borrower_Credit_Score]]&lt;=850),Banking_Credit_Risk_Dirty[[#This Row],[Borrower_Credit_Score]],"")</f>
        <v>763</v>
      </c>
    </row>
    <row r="856" spans="1:11" x14ac:dyDescent="0.25">
      <c r="A856" s="2" t="s">
        <v>878</v>
      </c>
      <c r="B856" s="2" t="s">
        <v>15</v>
      </c>
      <c r="C856" s="1">
        <v>45487</v>
      </c>
      <c r="D856">
        <v>105339</v>
      </c>
      <c r="E856">
        <v>701</v>
      </c>
      <c r="F856">
        <v>0.21</v>
      </c>
      <c r="G856">
        <v>6</v>
      </c>
      <c r="H856" s="2" t="s">
        <v>19</v>
      </c>
      <c r="I856" s="2" t="s">
        <v>17</v>
      </c>
      <c r="J856">
        <v>25</v>
      </c>
      <c r="K856">
        <f>IF(AND(Banking_Credit_Risk_Dirty[[#This Row],[Borrower_Credit_Score]]&gt;=300,Banking_Credit_Risk_Dirty[[#This Row],[Borrower_Credit_Score]]&lt;=850),Banking_Credit_Risk_Dirty[[#This Row],[Borrower_Credit_Score]],"")</f>
        <v>701</v>
      </c>
    </row>
    <row r="857" spans="1:11" x14ac:dyDescent="0.25">
      <c r="A857" s="2" t="s">
        <v>879</v>
      </c>
      <c r="B857" s="2" t="s">
        <v>15</v>
      </c>
      <c r="C857" s="1">
        <v>45654</v>
      </c>
      <c r="D857">
        <v>13132</v>
      </c>
      <c r="E857">
        <v>780</v>
      </c>
      <c r="F857">
        <v>0.52</v>
      </c>
      <c r="G857">
        <v>0</v>
      </c>
      <c r="H857" s="2" t="s">
        <v>22</v>
      </c>
      <c r="I857" s="2" t="s">
        <v>13</v>
      </c>
      <c r="J857">
        <v>20</v>
      </c>
      <c r="K857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858" spans="1:11" x14ac:dyDescent="0.25">
      <c r="A858" s="2" t="s">
        <v>880</v>
      </c>
      <c r="B858" s="2" t="s">
        <v>11</v>
      </c>
      <c r="C858" s="1">
        <v>45840</v>
      </c>
      <c r="D858">
        <v>28529</v>
      </c>
      <c r="E858">
        <v>575</v>
      </c>
      <c r="F858">
        <v>0.65</v>
      </c>
      <c r="G858">
        <v>2</v>
      </c>
      <c r="H858" s="2" t="s">
        <v>19</v>
      </c>
      <c r="I858" s="2" t="s">
        <v>89</v>
      </c>
      <c r="J858">
        <v>14</v>
      </c>
      <c r="K858">
        <f>IF(AND(Banking_Credit_Risk_Dirty[[#This Row],[Borrower_Credit_Score]]&gt;=300,Banking_Credit_Risk_Dirty[[#This Row],[Borrower_Credit_Score]]&lt;=850),Banking_Credit_Risk_Dirty[[#This Row],[Borrower_Credit_Score]],"")</f>
        <v>575</v>
      </c>
    </row>
    <row r="859" spans="1:11" x14ac:dyDescent="0.25">
      <c r="A859" s="2" t="s">
        <v>881</v>
      </c>
      <c r="B859" s="2" t="s">
        <v>15</v>
      </c>
      <c r="C859" s="1">
        <v>45368</v>
      </c>
      <c r="D859">
        <v>21113</v>
      </c>
      <c r="E859">
        <v>532</v>
      </c>
      <c r="F859">
        <v>0.43</v>
      </c>
      <c r="G859">
        <v>0</v>
      </c>
      <c r="H859" s="2" t="s">
        <v>12</v>
      </c>
      <c r="I859" s="2" t="s">
        <v>13</v>
      </c>
      <c r="J859">
        <v>29</v>
      </c>
      <c r="K859">
        <f>IF(AND(Banking_Credit_Risk_Dirty[[#This Row],[Borrower_Credit_Score]]&gt;=300,Banking_Credit_Risk_Dirty[[#This Row],[Borrower_Credit_Score]]&lt;=850),Banking_Credit_Risk_Dirty[[#This Row],[Borrower_Credit_Score]],"")</f>
        <v>532</v>
      </c>
    </row>
    <row r="860" spans="1:11" x14ac:dyDescent="0.25">
      <c r="A860" s="2" t="s">
        <v>882</v>
      </c>
      <c r="B860" s="2" t="s">
        <v>21</v>
      </c>
      <c r="C860" s="1">
        <v>45421</v>
      </c>
      <c r="D860">
        <v>35623</v>
      </c>
      <c r="E860">
        <v>467</v>
      </c>
      <c r="F860">
        <v>0.27</v>
      </c>
      <c r="G860">
        <v>0</v>
      </c>
      <c r="H860" s="2" t="s">
        <v>41</v>
      </c>
      <c r="I860" s="2" t="s">
        <v>13</v>
      </c>
      <c r="J860">
        <v>28</v>
      </c>
      <c r="K860">
        <f>IF(AND(Banking_Credit_Risk_Dirty[[#This Row],[Borrower_Credit_Score]]&gt;=300,Banking_Credit_Risk_Dirty[[#This Row],[Borrower_Credit_Score]]&lt;=850),Banking_Credit_Risk_Dirty[[#This Row],[Borrower_Credit_Score]],"")</f>
        <v>467</v>
      </c>
    </row>
    <row r="861" spans="1:11" x14ac:dyDescent="0.25">
      <c r="A861" s="2" t="s">
        <v>883</v>
      </c>
      <c r="B861" s="2" t="s">
        <v>21</v>
      </c>
      <c r="C861" s="1">
        <v>45869</v>
      </c>
      <c r="D861">
        <v>15636</v>
      </c>
      <c r="E861">
        <v>610</v>
      </c>
      <c r="F861">
        <v>0.49</v>
      </c>
      <c r="G861">
        <v>0</v>
      </c>
      <c r="H861" s="2" t="s">
        <v>19</v>
      </c>
      <c r="I861" s="2" t="s">
        <v>13</v>
      </c>
      <c r="J861">
        <v>13</v>
      </c>
      <c r="K861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862" spans="1:11" x14ac:dyDescent="0.25">
      <c r="A862" s="2" t="s">
        <v>884</v>
      </c>
      <c r="B862" s="2" t="s">
        <v>15</v>
      </c>
      <c r="C862" s="1">
        <v>45868</v>
      </c>
      <c r="D862">
        <v>89793</v>
      </c>
      <c r="E862">
        <v>626</v>
      </c>
      <c r="F862">
        <v>0.55000000000000004</v>
      </c>
      <c r="G862">
        <v>2</v>
      </c>
      <c r="H862" s="2" t="s">
        <v>19</v>
      </c>
      <c r="I862" s="2" t="s">
        <v>17</v>
      </c>
      <c r="J862">
        <v>13</v>
      </c>
      <c r="K862">
        <f>IF(AND(Banking_Credit_Risk_Dirty[[#This Row],[Borrower_Credit_Score]]&gt;=300,Banking_Credit_Risk_Dirty[[#This Row],[Borrower_Credit_Score]]&lt;=850),Banking_Credit_Risk_Dirty[[#This Row],[Borrower_Credit_Score]],"")</f>
        <v>626</v>
      </c>
    </row>
    <row r="863" spans="1:11" x14ac:dyDescent="0.25">
      <c r="A863" s="2" t="s">
        <v>885</v>
      </c>
      <c r="B863" s="2" t="s">
        <v>15</v>
      </c>
      <c r="C863" s="1">
        <v>45634</v>
      </c>
      <c r="D863">
        <v>36816</v>
      </c>
      <c r="E863">
        <v>597</v>
      </c>
      <c r="F863">
        <v>0.24</v>
      </c>
      <c r="G863">
        <v>0</v>
      </c>
      <c r="H863" s="2" t="s">
        <v>41</v>
      </c>
      <c r="I863" s="2" t="s">
        <v>13</v>
      </c>
      <c r="J863">
        <v>21</v>
      </c>
      <c r="K863">
        <f>IF(AND(Banking_Credit_Risk_Dirty[[#This Row],[Borrower_Credit_Score]]&gt;=300,Banking_Credit_Risk_Dirty[[#This Row],[Borrower_Credit_Score]]&lt;=850),Banking_Credit_Risk_Dirty[[#This Row],[Borrower_Credit_Score]],"")</f>
        <v>597</v>
      </c>
    </row>
    <row r="864" spans="1:11" x14ac:dyDescent="0.25">
      <c r="A864" s="2" t="s">
        <v>886</v>
      </c>
      <c r="B864" s="2" t="s">
        <v>11</v>
      </c>
      <c r="C864" s="1">
        <v>45614</v>
      </c>
      <c r="D864">
        <v>141924</v>
      </c>
      <c r="E864">
        <v>707</v>
      </c>
      <c r="F864">
        <v>0.28999999999999998</v>
      </c>
      <c r="G864">
        <v>0</v>
      </c>
      <c r="H864" s="2" t="s">
        <v>12</v>
      </c>
      <c r="I864" s="2" t="s">
        <v>13</v>
      </c>
      <c r="J864">
        <v>21</v>
      </c>
      <c r="K864">
        <f>IF(AND(Banking_Credit_Risk_Dirty[[#This Row],[Borrower_Credit_Score]]&gt;=300,Banking_Credit_Risk_Dirty[[#This Row],[Borrower_Credit_Score]]&lt;=850),Banking_Credit_Risk_Dirty[[#This Row],[Borrower_Credit_Score]],"")</f>
        <v>707</v>
      </c>
    </row>
    <row r="865" spans="1:11" x14ac:dyDescent="0.25">
      <c r="A865" s="2" t="s">
        <v>887</v>
      </c>
      <c r="B865" s="2" t="s">
        <v>15</v>
      </c>
      <c r="C865" s="1">
        <v>45559</v>
      </c>
      <c r="D865">
        <v>66253</v>
      </c>
      <c r="E865">
        <v>779</v>
      </c>
      <c r="F865">
        <v>0.46</v>
      </c>
      <c r="G865">
        <v>6</v>
      </c>
      <c r="H865" s="2" t="s">
        <v>16</v>
      </c>
      <c r="I865" s="2" t="s">
        <v>23</v>
      </c>
      <c r="J865">
        <v>23</v>
      </c>
      <c r="K865">
        <f>IF(AND(Banking_Credit_Risk_Dirty[[#This Row],[Borrower_Credit_Score]]&gt;=300,Banking_Credit_Risk_Dirty[[#This Row],[Borrower_Credit_Score]]&lt;=850),Banking_Credit_Risk_Dirty[[#This Row],[Borrower_Credit_Score]],"")</f>
        <v>779</v>
      </c>
    </row>
    <row r="866" spans="1:11" x14ac:dyDescent="0.25">
      <c r="A866" s="2" t="s">
        <v>888</v>
      </c>
      <c r="B866" s="2" t="s">
        <v>21</v>
      </c>
      <c r="C866" s="1">
        <v>45695</v>
      </c>
      <c r="D866">
        <v>51097</v>
      </c>
      <c r="E866">
        <v>799</v>
      </c>
      <c r="F866">
        <v>0.17</v>
      </c>
      <c r="G866">
        <v>5</v>
      </c>
      <c r="H866" s="2" t="s">
        <v>41</v>
      </c>
      <c r="I866" s="2" t="s">
        <v>17</v>
      </c>
      <c r="J866">
        <v>19</v>
      </c>
      <c r="K866">
        <f>IF(AND(Banking_Credit_Risk_Dirty[[#This Row],[Borrower_Credit_Score]]&gt;=300,Banking_Credit_Risk_Dirty[[#This Row],[Borrower_Credit_Score]]&lt;=850),Banking_Credit_Risk_Dirty[[#This Row],[Borrower_Credit_Score]],"")</f>
        <v>799</v>
      </c>
    </row>
    <row r="867" spans="1:11" x14ac:dyDescent="0.25">
      <c r="A867" s="2" t="s">
        <v>889</v>
      </c>
      <c r="B867" s="2" t="s">
        <v>21</v>
      </c>
      <c r="C867" s="1">
        <v>45607</v>
      </c>
      <c r="D867">
        <v>138695</v>
      </c>
      <c r="E867">
        <v>667</v>
      </c>
      <c r="F867">
        <v>0.35</v>
      </c>
      <c r="G867">
        <v>0</v>
      </c>
      <c r="H867" s="2" t="s">
        <v>19</v>
      </c>
      <c r="I867" s="2" t="s">
        <v>13</v>
      </c>
      <c r="J867">
        <v>21</v>
      </c>
      <c r="K867">
        <f>IF(AND(Banking_Credit_Risk_Dirty[[#This Row],[Borrower_Credit_Score]]&gt;=300,Banking_Credit_Risk_Dirty[[#This Row],[Borrower_Credit_Score]]&lt;=850),Banking_Credit_Risk_Dirty[[#This Row],[Borrower_Credit_Score]],"")</f>
        <v>667</v>
      </c>
    </row>
    <row r="868" spans="1:11" x14ac:dyDescent="0.25">
      <c r="A868" s="2" t="s">
        <v>890</v>
      </c>
      <c r="B868" s="2" t="s">
        <v>21</v>
      </c>
      <c r="C868" s="1">
        <v>45372</v>
      </c>
      <c r="D868">
        <v>122575</v>
      </c>
      <c r="E868">
        <v>763</v>
      </c>
      <c r="F868">
        <v>0.51</v>
      </c>
      <c r="G868">
        <v>0</v>
      </c>
      <c r="H868" s="2" t="s">
        <v>12</v>
      </c>
      <c r="I868" s="2" t="s">
        <v>13</v>
      </c>
      <c r="J868">
        <v>29</v>
      </c>
      <c r="K868">
        <f>IF(AND(Banking_Credit_Risk_Dirty[[#This Row],[Borrower_Credit_Score]]&gt;=300,Banking_Credit_Risk_Dirty[[#This Row],[Borrower_Credit_Score]]&lt;=850),Banking_Credit_Risk_Dirty[[#This Row],[Borrower_Credit_Score]],"")</f>
        <v>763</v>
      </c>
    </row>
    <row r="869" spans="1:11" x14ac:dyDescent="0.25">
      <c r="A869" s="2" t="s">
        <v>891</v>
      </c>
      <c r="B869" s="2" t="s">
        <v>21</v>
      </c>
      <c r="C869" s="1">
        <v>45326</v>
      </c>
      <c r="D869">
        <v>111410</v>
      </c>
      <c r="E869">
        <v>810</v>
      </c>
      <c r="F869">
        <v>0.39</v>
      </c>
      <c r="G869">
        <v>0</v>
      </c>
      <c r="H869" s="2" t="s">
        <v>19</v>
      </c>
      <c r="I869" s="2" t="s">
        <v>17</v>
      </c>
      <c r="J869">
        <v>31</v>
      </c>
      <c r="K869">
        <f>IF(AND(Banking_Credit_Risk_Dirty[[#This Row],[Borrower_Credit_Score]]&gt;=300,Banking_Credit_Risk_Dirty[[#This Row],[Borrower_Credit_Score]]&lt;=850),Banking_Credit_Risk_Dirty[[#This Row],[Borrower_Credit_Score]],"")</f>
        <v>810</v>
      </c>
    </row>
    <row r="870" spans="1:11" x14ac:dyDescent="0.25">
      <c r="A870" s="2" t="s">
        <v>892</v>
      </c>
      <c r="B870" s="2" t="s">
        <v>11</v>
      </c>
      <c r="C870" s="1">
        <v>45676</v>
      </c>
      <c r="D870">
        <v>20148</v>
      </c>
      <c r="E870">
        <v>725</v>
      </c>
      <c r="F870">
        <v>0.31</v>
      </c>
      <c r="G870">
        <v>0</v>
      </c>
      <c r="H870" s="2" t="s">
        <v>41</v>
      </c>
      <c r="I870" s="2" t="s">
        <v>13</v>
      </c>
      <c r="J870">
        <v>19</v>
      </c>
      <c r="K870">
        <f>IF(AND(Banking_Credit_Risk_Dirty[[#This Row],[Borrower_Credit_Score]]&gt;=300,Banking_Credit_Risk_Dirty[[#This Row],[Borrower_Credit_Score]]&lt;=850),Banking_Credit_Risk_Dirty[[#This Row],[Borrower_Credit_Score]],"")</f>
        <v>725</v>
      </c>
    </row>
    <row r="871" spans="1:11" x14ac:dyDescent="0.25">
      <c r="A871" s="2" t="s">
        <v>893</v>
      </c>
      <c r="B871" s="2" t="s">
        <v>21</v>
      </c>
      <c r="C871" s="1">
        <v>45545</v>
      </c>
      <c r="D871">
        <v>31549</v>
      </c>
      <c r="E871">
        <v>532</v>
      </c>
      <c r="F871">
        <v>0.51</v>
      </c>
      <c r="G871">
        <v>3</v>
      </c>
      <c r="H871" s="2" t="s">
        <v>12</v>
      </c>
      <c r="I871" s="2" t="s">
        <v>89</v>
      </c>
      <c r="J871">
        <v>23</v>
      </c>
      <c r="K871">
        <f>IF(AND(Banking_Credit_Risk_Dirty[[#This Row],[Borrower_Credit_Score]]&gt;=300,Banking_Credit_Risk_Dirty[[#This Row],[Borrower_Credit_Score]]&lt;=850),Banking_Credit_Risk_Dirty[[#This Row],[Borrower_Credit_Score]],"")</f>
        <v>532</v>
      </c>
    </row>
    <row r="872" spans="1:11" x14ac:dyDescent="0.25">
      <c r="A872" s="2" t="s">
        <v>894</v>
      </c>
      <c r="B872" s="2" t="s">
        <v>15</v>
      </c>
      <c r="C872" s="1">
        <v>45909</v>
      </c>
      <c r="D872">
        <v>5282</v>
      </c>
      <c r="E872">
        <v>726</v>
      </c>
      <c r="F872">
        <v>0.48</v>
      </c>
      <c r="G872">
        <v>6</v>
      </c>
      <c r="H872" s="2" t="s">
        <v>22</v>
      </c>
      <c r="I872" s="2" t="s">
        <v>17</v>
      </c>
      <c r="J872">
        <v>12</v>
      </c>
      <c r="K872">
        <f>IF(AND(Banking_Credit_Risk_Dirty[[#This Row],[Borrower_Credit_Score]]&gt;=300,Banking_Credit_Risk_Dirty[[#This Row],[Borrower_Credit_Score]]&lt;=850),Banking_Credit_Risk_Dirty[[#This Row],[Borrower_Credit_Score]],"")</f>
        <v>726</v>
      </c>
    </row>
    <row r="873" spans="1:11" x14ac:dyDescent="0.25">
      <c r="A873" s="2" t="s">
        <v>895</v>
      </c>
      <c r="B873" s="2" t="s">
        <v>43</v>
      </c>
      <c r="C873" s="1">
        <v>45866</v>
      </c>
      <c r="D873">
        <v>98659</v>
      </c>
      <c r="E873">
        <v>600</v>
      </c>
      <c r="F873">
        <v>0.59</v>
      </c>
      <c r="G873">
        <v>0</v>
      </c>
      <c r="H873" s="2" t="s">
        <v>12</v>
      </c>
      <c r="I873" s="2" t="s">
        <v>13</v>
      </c>
      <c r="J873">
        <v>13</v>
      </c>
      <c r="K873">
        <f>IF(AND(Banking_Credit_Risk_Dirty[[#This Row],[Borrower_Credit_Score]]&gt;=300,Banking_Credit_Risk_Dirty[[#This Row],[Borrower_Credit_Score]]&lt;=850),Banking_Credit_Risk_Dirty[[#This Row],[Borrower_Credit_Score]],"")</f>
        <v>600</v>
      </c>
    </row>
    <row r="874" spans="1:11" x14ac:dyDescent="0.25">
      <c r="A874" s="2" t="s">
        <v>896</v>
      </c>
      <c r="B874" s="2" t="s">
        <v>11</v>
      </c>
      <c r="C874" s="1">
        <v>45638</v>
      </c>
      <c r="D874">
        <v>119627</v>
      </c>
      <c r="E874">
        <v>469</v>
      </c>
      <c r="F874">
        <v>0.62</v>
      </c>
      <c r="G874">
        <v>3</v>
      </c>
      <c r="H874" s="2" t="s">
        <v>12</v>
      </c>
      <c r="I874" s="2" t="s">
        <v>89</v>
      </c>
      <c r="J874">
        <v>20</v>
      </c>
      <c r="K874">
        <f>IF(AND(Banking_Credit_Risk_Dirty[[#This Row],[Borrower_Credit_Score]]&gt;=300,Banking_Credit_Risk_Dirty[[#This Row],[Borrower_Credit_Score]]&lt;=850),Banking_Credit_Risk_Dirty[[#This Row],[Borrower_Credit_Score]],"")</f>
        <v>469</v>
      </c>
    </row>
    <row r="875" spans="1:11" x14ac:dyDescent="0.25">
      <c r="A875" s="2" t="s">
        <v>897</v>
      </c>
      <c r="B875" s="2" t="s">
        <v>21</v>
      </c>
      <c r="C875" s="1">
        <v>45423</v>
      </c>
      <c r="D875">
        <v>111402</v>
      </c>
      <c r="E875">
        <v>606</v>
      </c>
      <c r="F875">
        <v>0.49</v>
      </c>
      <c r="G875">
        <v>3</v>
      </c>
      <c r="H875" s="2" t="s">
        <v>12</v>
      </c>
      <c r="I875" s="2" t="s">
        <v>23</v>
      </c>
      <c r="J875">
        <v>27</v>
      </c>
      <c r="K875">
        <f>IF(AND(Banking_Credit_Risk_Dirty[[#This Row],[Borrower_Credit_Score]]&gt;=300,Banking_Credit_Risk_Dirty[[#This Row],[Borrower_Credit_Score]]&lt;=850),Banking_Credit_Risk_Dirty[[#This Row],[Borrower_Credit_Score]],"")</f>
        <v>606</v>
      </c>
    </row>
    <row r="876" spans="1:11" x14ac:dyDescent="0.25">
      <c r="A876" s="2" t="s">
        <v>898</v>
      </c>
      <c r="B876" s="2" t="s">
        <v>21</v>
      </c>
      <c r="C876" s="1">
        <v>45369</v>
      </c>
      <c r="D876">
        <v>46843</v>
      </c>
      <c r="E876">
        <v>519</v>
      </c>
      <c r="F876">
        <v>0.59</v>
      </c>
      <c r="G876">
        <v>5</v>
      </c>
      <c r="H876" s="2" t="s">
        <v>16</v>
      </c>
      <c r="I876" s="2" t="s">
        <v>89</v>
      </c>
      <c r="J876">
        <v>29</v>
      </c>
      <c r="K876">
        <f>IF(AND(Banking_Credit_Risk_Dirty[[#This Row],[Borrower_Credit_Score]]&gt;=300,Banking_Credit_Risk_Dirty[[#This Row],[Borrower_Credit_Score]]&lt;=850),Banking_Credit_Risk_Dirty[[#This Row],[Borrower_Credit_Score]],"")</f>
        <v>519</v>
      </c>
    </row>
    <row r="877" spans="1:11" x14ac:dyDescent="0.25">
      <c r="A877" s="2" t="s">
        <v>899</v>
      </c>
      <c r="B877" s="2" t="s">
        <v>21</v>
      </c>
      <c r="C877" s="1">
        <v>45473</v>
      </c>
      <c r="D877">
        <v>18376</v>
      </c>
      <c r="E877">
        <v>694</v>
      </c>
      <c r="F877">
        <v>0.32</v>
      </c>
      <c r="G877">
        <v>0</v>
      </c>
      <c r="H877" s="2" t="s">
        <v>12</v>
      </c>
      <c r="I877" s="2" t="s">
        <v>13</v>
      </c>
      <c r="J877">
        <v>26</v>
      </c>
      <c r="K877">
        <f>IF(AND(Banking_Credit_Risk_Dirty[[#This Row],[Borrower_Credit_Score]]&gt;=300,Banking_Credit_Risk_Dirty[[#This Row],[Borrower_Credit_Score]]&lt;=850),Banking_Credit_Risk_Dirty[[#This Row],[Borrower_Credit_Score]],"")</f>
        <v>694</v>
      </c>
    </row>
    <row r="878" spans="1:11" x14ac:dyDescent="0.25">
      <c r="A878" s="2" t="s">
        <v>900</v>
      </c>
      <c r="B878" s="2" t="s">
        <v>15</v>
      </c>
      <c r="C878" s="1">
        <v>45658</v>
      </c>
      <c r="D878">
        <v>69282</v>
      </c>
      <c r="E878">
        <v>788</v>
      </c>
      <c r="F878">
        <v>0.6</v>
      </c>
      <c r="G878">
        <v>0</v>
      </c>
      <c r="H878" s="2" t="s">
        <v>12</v>
      </c>
      <c r="I878" s="2" t="s">
        <v>13</v>
      </c>
      <c r="J878">
        <v>20</v>
      </c>
      <c r="K878">
        <f>IF(AND(Banking_Credit_Risk_Dirty[[#This Row],[Borrower_Credit_Score]]&gt;=300,Banking_Credit_Risk_Dirty[[#This Row],[Borrower_Credit_Score]]&lt;=850),Banking_Credit_Risk_Dirty[[#This Row],[Borrower_Credit_Score]],"")</f>
        <v>788</v>
      </c>
    </row>
    <row r="879" spans="1:11" x14ac:dyDescent="0.25">
      <c r="A879" s="2" t="s">
        <v>901</v>
      </c>
      <c r="B879" s="2" t="s">
        <v>11</v>
      </c>
      <c r="C879" s="1">
        <v>45443</v>
      </c>
      <c r="D879">
        <v>131489</v>
      </c>
      <c r="E879">
        <v>809</v>
      </c>
      <c r="F879">
        <v>0.45</v>
      </c>
      <c r="G879">
        <v>0</v>
      </c>
      <c r="H879" s="2" t="s">
        <v>16</v>
      </c>
      <c r="I879" s="2" t="s">
        <v>13</v>
      </c>
      <c r="J879">
        <v>27</v>
      </c>
      <c r="K879">
        <f>IF(AND(Banking_Credit_Risk_Dirty[[#This Row],[Borrower_Credit_Score]]&gt;=300,Banking_Credit_Risk_Dirty[[#This Row],[Borrower_Credit_Score]]&lt;=850),Banking_Credit_Risk_Dirty[[#This Row],[Borrower_Credit_Score]],"")</f>
        <v>809</v>
      </c>
    </row>
    <row r="880" spans="1:11" x14ac:dyDescent="0.25">
      <c r="A880" s="2" t="s">
        <v>902</v>
      </c>
      <c r="B880" s="2" t="s">
        <v>11</v>
      </c>
      <c r="C880" s="1">
        <v>45350</v>
      </c>
      <c r="D880">
        <v>67829</v>
      </c>
      <c r="E880">
        <v>605</v>
      </c>
      <c r="F880">
        <v>0.35</v>
      </c>
      <c r="G880">
        <v>0</v>
      </c>
      <c r="H880" s="2" t="s">
        <v>27</v>
      </c>
      <c r="I880" s="2" t="s">
        <v>13</v>
      </c>
      <c r="J880">
        <v>30</v>
      </c>
      <c r="K880">
        <f>IF(AND(Banking_Credit_Risk_Dirty[[#This Row],[Borrower_Credit_Score]]&gt;=300,Banking_Credit_Risk_Dirty[[#This Row],[Borrower_Credit_Score]]&lt;=850),Banking_Credit_Risk_Dirty[[#This Row],[Borrower_Credit_Score]],"")</f>
        <v>605</v>
      </c>
    </row>
    <row r="881" spans="1:11" x14ac:dyDescent="0.25">
      <c r="A881" s="2" t="s">
        <v>903</v>
      </c>
      <c r="B881" s="2" t="s">
        <v>21</v>
      </c>
      <c r="C881" s="1">
        <v>45322</v>
      </c>
      <c r="D881">
        <v>66266</v>
      </c>
      <c r="E881">
        <v>485</v>
      </c>
      <c r="F881">
        <v>0.16</v>
      </c>
      <c r="G881">
        <v>0</v>
      </c>
      <c r="H881" s="2" t="s">
        <v>12</v>
      </c>
      <c r="I881" s="2" t="s">
        <v>13</v>
      </c>
      <c r="J881">
        <v>31</v>
      </c>
      <c r="K881">
        <f>IF(AND(Banking_Credit_Risk_Dirty[[#This Row],[Borrower_Credit_Score]]&gt;=300,Banking_Credit_Risk_Dirty[[#This Row],[Borrower_Credit_Score]]&lt;=850),Banking_Credit_Risk_Dirty[[#This Row],[Borrower_Credit_Score]],"")</f>
        <v>485</v>
      </c>
    </row>
    <row r="882" spans="1:11" x14ac:dyDescent="0.25">
      <c r="A882" s="2" t="s">
        <v>904</v>
      </c>
      <c r="B882" s="2" t="s">
        <v>43</v>
      </c>
      <c r="C882" s="1">
        <v>45866</v>
      </c>
      <c r="D882">
        <v>71328</v>
      </c>
      <c r="E882">
        <v>536</v>
      </c>
      <c r="F882">
        <v>0.34</v>
      </c>
      <c r="G882">
        <v>4</v>
      </c>
      <c r="H882" s="2" t="s">
        <v>12</v>
      </c>
      <c r="I882" s="2" t="s">
        <v>23</v>
      </c>
      <c r="J882">
        <v>13</v>
      </c>
      <c r="K882">
        <f>IF(AND(Banking_Credit_Risk_Dirty[[#This Row],[Borrower_Credit_Score]]&gt;=300,Banking_Credit_Risk_Dirty[[#This Row],[Borrower_Credit_Score]]&lt;=850),Banking_Credit_Risk_Dirty[[#This Row],[Borrower_Credit_Score]],"")</f>
        <v>536</v>
      </c>
    </row>
    <row r="883" spans="1:11" x14ac:dyDescent="0.25">
      <c r="A883" s="2" t="s">
        <v>905</v>
      </c>
      <c r="B883" s="2" t="s">
        <v>11</v>
      </c>
      <c r="C883" s="1">
        <v>45431</v>
      </c>
      <c r="D883">
        <v>140029</v>
      </c>
      <c r="E883">
        <v>569</v>
      </c>
      <c r="F883">
        <v>0.64</v>
      </c>
      <c r="G883">
        <v>1</v>
      </c>
      <c r="H883" s="2" t="s">
        <v>19</v>
      </c>
      <c r="I883" s="2" t="s">
        <v>23</v>
      </c>
      <c r="J883">
        <v>27</v>
      </c>
      <c r="K883">
        <f>IF(AND(Banking_Credit_Risk_Dirty[[#This Row],[Borrower_Credit_Score]]&gt;=300,Banking_Credit_Risk_Dirty[[#This Row],[Borrower_Credit_Score]]&lt;=850),Banking_Credit_Risk_Dirty[[#This Row],[Borrower_Credit_Score]],"")</f>
        <v>569</v>
      </c>
    </row>
    <row r="884" spans="1:11" x14ac:dyDescent="0.25">
      <c r="A884" s="2" t="s">
        <v>906</v>
      </c>
      <c r="B884" s="2" t="s">
        <v>11</v>
      </c>
      <c r="C884" s="1">
        <v>45489</v>
      </c>
      <c r="D884">
        <v>144597</v>
      </c>
      <c r="E884">
        <v>796</v>
      </c>
      <c r="F884">
        <v>0.54</v>
      </c>
      <c r="G884">
        <v>0</v>
      </c>
      <c r="H884" s="2" t="s">
        <v>12</v>
      </c>
      <c r="I884" s="2" t="s">
        <v>13</v>
      </c>
      <c r="J884">
        <v>25</v>
      </c>
      <c r="K884">
        <f>IF(AND(Banking_Credit_Risk_Dirty[[#This Row],[Borrower_Credit_Score]]&gt;=300,Banking_Credit_Risk_Dirty[[#This Row],[Borrower_Credit_Score]]&lt;=850),Banking_Credit_Risk_Dirty[[#This Row],[Borrower_Credit_Score]],"")</f>
        <v>796</v>
      </c>
    </row>
    <row r="885" spans="1:11" x14ac:dyDescent="0.25">
      <c r="A885" s="2" t="s">
        <v>907</v>
      </c>
      <c r="B885" s="2" t="s">
        <v>21</v>
      </c>
      <c r="C885" s="1">
        <v>45862</v>
      </c>
      <c r="D885">
        <v>76386</v>
      </c>
      <c r="E885">
        <v>-1</v>
      </c>
      <c r="F885">
        <v>0.38</v>
      </c>
      <c r="G885">
        <v>6</v>
      </c>
      <c r="H885" s="2" t="s">
        <v>41</v>
      </c>
      <c r="I885" s="2" t="s">
        <v>17</v>
      </c>
      <c r="J885">
        <v>13</v>
      </c>
      <c r="K885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886" spans="1:11" x14ac:dyDescent="0.25">
      <c r="A886" s="2" t="s">
        <v>908</v>
      </c>
      <c r="B886" s="2" t="s">
        <v>21</v>
      </c>
      <c r="C886" s="1">
        <v>45402</v>
      </c>
      <c r="D886">
        <v>75792</v>
      </c>
      <c r="E886">
        <v>752</v>
      </c>
      <c r="F886">
        <v>0.48</v>
      </c>
      <c r="G886">
        <v>0</v>
      </c>
      <c r="H886" s="2" t="s">
        <v>19</v>
      </c>
      <c r="I886" s="2" t="s">
        <v>17</v>
      </c>
      <c r="J886">
        <v>28</v>
      </c>
      <c r="K886">
        <f>IF(AND(Banking_Credit_Risk_Dirty[[#This Row],[Borrower_Credit_Score]]&gt;=300,Banking_Credit_Risk_Dirty[[#This Row],[Borrower_Credit_Score]]&lt;=850),Banking_Credit_Risk_Dirty[[#This Row],[Borrower_Credit_Score]],"")</f>
        <v>752</v>
      </c>
    </row>
    <row r="887" spans="1:11" x14ac:dyDescent="0.25">
      <c r="A887" s="2" t="s">
        <v>909</v>
      </c>
      <c r="B887" s="2" t="s">
        <v>11</v>
      </c>
      <c r="C887" s="1">
        <v>45774</v>
      </c>
      <c r="D887">
        <v>21642</v>
      </c>
      <c r="E887">
        <v>507</v>
      </c>
      <c r="F887">
        <v>0.57999999999999996</v>
      </c>
      <c r="G887">
        <v>6</v>
      </c>
      <c r="H887" s="2" t="s">
        <v>19</v>
      </c>
      <c r="I887" s="2" t="s">
        <v>89</v>
      </c>
      <c r="J887">
        <v>16</v>
      </c>
      <c r="K887">
        <f>IF(AND(Banking_Credit_Risk_Dirty[[#This Row],[Borrower_Credit_Score]]&gt;=300,Banking_Credit_Risk_Dirty[[#This Row],[Borrower_Credit_Score]]&lt;=850),Banking_Credit_Risk_Dirty[[#This Row],[Borrower_Credit_Score]],"")</f>
        <v>507</v>
      </c>
    </row>
    <row r="888" spans="1:11" x14ac:dyDescent="0.25">
      <c r="A888" s="2" t="s">
        <v>910</v>
      </c>
      <c r="B888" s="2" t="s">
        <v>11</v>
      </c>
      <c r="C888" s="1">
        <v>45403</v>
      </c>
      <c r="D888">
        <v>97134</v>
      </c>
      <c r="E888">
        <v>822</v>
      </c>
      <c r="F888">
        <v>0.35</v>
      </c>
      <c r="G888">
        <v>6</v>
      </c>
      <c r="H888" s="2" t="s">
        <v>19</v>
      </c>
      <c r="I888" s="2" t="s">
        <v>17</v>
      </c>
      <c r="J888">
        <v>28</v>
      </c>
      <c r="K888">
        <f>IF(AND(Banking_Credit_Risk_Dirty[[#This Row],[Borrower_Credit_Score]]&gt;=300,Banking_Credit_Risk_Dirty[[#This Row],[Borrower_Credit_Score]]&lt;=850),Banking_Credit_Risk_Dirty[[#This Row],[Borrower_Credit_Score]],"")</f>
        <v>822</v>
      </c>
    </row>
    <row r="889" spans="1:11" x14ac:dyDescent="0.25">
      <c r="A889" s="2" t="s">
        <v>911</v>
      </c>
      <c r="B889" s="2" t="s">
        <v>21</v>
      </c>
      <c r="C889" s="1">
        <v>45804</v>
      </c>
      <c r="D889">
        <v>71200</v>
      </c>
      <c r="E889">
        <v>571</v>
      </c>
      <c r="F889">
        <v>0.49</v>
      </c>
      <c r="G889">
        <v>4</v>
      </c>
      <c r="H889" s="2" t="s">
        <v>12</v>
      </c>
      <c r="I889" s="2" t="s">
        <v>23</v>
      </c>
      <c r="J889">
        <v>15</v>
      </c>
      <c r="K889">
        <f>IF(AND(Banking_Credit_Risk_Dirty[[#This Row],[Borrower_Credit_Score]]&gt;=300,Banking_Credit_Risk_Dirty[[#This Row],[Borrower_Credit_Score]]&lt;=850),Banking_Credit_Risk_Dirty[[#This Row],[Borrower_Credit_Score]],"")</f>
        <v>571</v>
      </c>
    </row>
    <row r="890" spans="1:11" x14ac:dyDescent="0.25">
      <c r="A890" s="2" t="s">
        <v>912</v>
      </c>
      <c r="B890" s="2" t="s">
        <v>15</v>
      </c>
      <c r="C890" s="1">
        <v>45604</v>
      </c>
      <c r="D890">
        <v>87207</v>
      </c>
      <c r="E890">
        <v>464</v>
      </c>
      <c r="F890">
        <v>0.15</v>
      </c>
      <c r="G890">
        <v>0</v>
      </c>
      <c r="H890" s="2" t="s">
        <v>19</v>
      </c>
      <c r="I890" s="2" t="s">
        <v>13</v>
      </c>
      <c r="J890">
        <v>22</v>
      </c>
      <c r="K890">
        <f>IF(AND(Banking_Credit_Risk_Dirty[[#This Row],[Borrower_Credit_Score]]&gt;=300,Banking_Credit_Risk_Dirty[[#This Row],[Borrower_Credit_Score]]&lt;=850),Banking_Credit_Risk_Dirty[[#This Row],[Borrower_Credit_Score]],"")</f>
        <v>464</v>
      </c>
    </row>
    <row r="891" spans="1:11" x14ac:dyDescent="0.25">
      <c r="A891" s="2" t="s">
        <v>913</v>
      </c>
      <c r="B891" s="2" t="s">
        <v>21</v>
      </c>
      <c r="C891" s="1">
        <v>45505</v>
      </c>
      <c r="D891">
        <v>92208</v>
      </c>
      <c r="E891">
        <v>777</v>
      </c>
      <c r="F891">
        <v>0.16</v>
      </c>
      <c r="G891">
        <v>0</v>
      </c>
      <c r="H891" s="2" t="s">
        <v>19</v>
      </c>
      <c r="I891" s="2" t="s">
        <v>13</v>
      </c>
      <c r="J891">
        <v>25</v>
      </c>
      <c r="K891">
        <f>IF(AND(Banking_Credit_Risk_Dirty[[#This Row],[Borrower_Credit_Score]]&gt;=300,Banking_Credit_Risk_Dirty[[#This Row],[Borrower_Credit_Score]]&lt;=850),Banking_Credit_Risk_Dirty[[#This Row],[Borrower_Credit_Score]],"")</f>
        <v>777</v>
      </c>
    </row>
    <row r="892" spans="1:11" x14ac:dyDescent="0.25">
      <c r="A892" s="2" t="s">
        <v>914</v>
      </c>
      <c r="B892" s="2" t="s">
        <v>43</v>
      </c>
      <c r="C892" s="1">
        <v>45664</v>
      </c>
      <c r="D892">
        <v>148117</v>
      </c>
      <c r="E892">
        <v>744</v>
      </c>
      <c r="F892">
        <v>0.3</v>
      </c>
      <c r="G892">
        <v>0</v>
      </c>
      <c r="H892" s="2" t="s">
        <v>19</v>
      </c>
      <c r="I892" s="2" t="s">
        <v>13</v>
      </c>
      <c r="J892">
        <v>20</v>
      </c>
      <c r="K892">
        <f>IF(AND(Banking_Credit_Risk_Dirty[[#This Row],[Borrower_Credit_Score]]&gt;=300,Banking_Credit_Risk_Dirty[[#This Row],[Borrower_Credit_Score]]&lt;=850),Banking_Credit_Risk_Dirty[[#This Row],[Borrower_Credit_Score]],"")</f>
        <v>744</v>
      </c>
    </row>
    <row r="893" spans="1:11" x14ac:dyDescent="0.25">
      <c r="A893" s="2" t="s">
        <v>915</v>
      </c>
      <c r="B893" s="2" t="s">
        <v>21</v>
      </c>
      <c r="C893" s="1">
        <v>45880</v>
      </c>
      <c r="D893">
        <v>115679</v>
      </c>
      <c r="E893">
        <v>576</v>
      </c>
      <c r="F893">
        <v>0.51</v>
      </c>
      <c r="G893">
        <v>0</v>
      </c>
      <c r="H893" s="2" t="s">
        <v>22</v>
      </c>
      <c r="I893" s="2" t="s">
        <v>13</v>
      </c>
      <c r="J893">
        <v>12</v>
      </c>
      <c r="K893">
        <f>IF(AND(Banking_Credit_Risk_Dirty[[#This Row],[Borrower_Credit_Score]]&gt;=300,Banking_Credit_Risk_Dirty[[#This Row],[Borrower_Credit_Score]]&lt;=850),Banking_Credit_Risk_Dirty[[#This Row],[Borrower_Credit_Score]],"")</f>
        <v>576</v>
      </c>
    </row>
    <row r="894" spans="1:11" x14ac:dyDescent="0.25">
      <c r="A894" s="2" t="s">
        <v>916</v>
      </c>
      <c r="B894" s="2" t="s">
        <v>15</v>
      </c>
      <c r="C894" s="1">
        <v>45891</v>
      </c>
      <c r="D894">
        <v>134808</v>
      </c>
      <c r="E894">
        <v>800</v>
      </c>
      <c r="F894">
        <v>0.38</v>
      </c>
      <c r="G894">
        <v>0</v>
      </c>
      <c r="H894" s="2" t="s">
        <v>19</v>
      </c>
      <c r="I894" s="2" t="s">
        <v>23</v>
      </c>
      <c r="J894">
        <v>12</v>
      </c>
      <c r="K894">
        <f>IF(AND(Banking_Credit_Risk_Dirty[[#This Row],[Borrower_Credit_Score]]&gt;=300,Banking_Credit_Risk_Dirty[[#This Row],[Borrower_Credit_Score]]&lt;=850),Banking_Credit_Risk_Dirty[[#This Row],[Borrower_Credit_Score]],"")</f>
        <v>800</v>
      </c>
    </row>
    <row r="895" spans="1:11" x14ac:dyDescent="0.25">
      <c r="A895" s="2" t="s">
        <v>917</v>
      </c>
      <c r="B895" s="2" t="s">
        <v>21</v>
      </c>
      <c r="C895" s="1">
        <v>45482</v>
      </c>
      <c r="D895">
        <v>22332</v>
      </c>
      <c r="E895">
        <v>480</v>
      </c>
      <c r="F895">
        <v>0.41</v>
      </c>
      <c r="G895">
        <v>0</v>
      </c>
      <c r="H895" s="2" t="s">
        <v>19</v>
      </c>
      <c r="I895" s="2" t="s">
        <v>13</v>
      </c>
      <c r="J895">
        <v>26</v>
      </c>
      <c r="K895">
        <f>IF(AND(Banking_Credit_Risk_Dirty[[#This Row],[Borrower_Credit_Score]]&gt;=300,Banking_Credit_Risk_Dirty[[#This Row],[Borrower_Credit_Score]]&lt;=850),Banking_Credit_Risk_Dirty[[#This Row],[Borrower_Credit_Score]],"")</f>
        <v>480</v>
      </c>
    </row>
    <row r="896" spans="1:11" x14ac:dyDescent="0.25">
      <c r="A896" s="2" t="s">
        <v>918</v>
      </c>
      <c r="B896" s="2" t="s">
        <v>15</v>
      </c>
      <c r="C896" s="1">
        <v>45959</v>
      </c>
      <c r="D896">
        <v>57624</v>
      </c>
      <c r="E896">
        <v>844</v>
      </c>
      <c r="F896">
        <v>0.38</v>
      </c>
      <c r="G896">
        <v>0</v>
      </c>
      <c r="H896" s="2" t="s">
        <v>12</v>
      </c>
      <c r="I896" s="2" t="s">
        <v>13</v>
      </c>
      <c r="J896">
        <v>10</v>
      </c>
      <c r="K896">
        <f>IF(AND(Banking_Credit_Risk_Dirty[[#This Row],[Borrower_Credit_Score]]&gt;=300,Banking_Credit_Risk_Dirty[[#This Row],[Borrower_Credit_Score]]&lt;=850),Banking_Credit_Risk_Dirty[[#This Row],[Borrower_Credit_Score]],"")</f>
        <v>844</v>
      </c>
    </row>
    <row r="897" spans="1:11" x14ac:dyDescent="0.25">
      <c r="A897" s="2" t="s">
        <v>919</v>
      </c>
      <c r="B897" s="2" t="s">
        <v>11</v>
      </c>
      <c r="C897" s="1">
        <v>45414</v>
      </c>
      <c r="D897">
        <v>51749</v>
      </c>
      <c r="E897">
        <v>483</v>
      </c>
      <c r="F897">
        <v>0.55000000000000004</v>
      </c>
      <c r="G897">
        <v>3</v>
      </c>
      <c r="H897" s="2" t="s">
        <v>12</v>
      </c>
      <c r="I897" s="2" t="s">
        <v>23</v>
      </c>
      <c r="J897">
        <v>28</v>
      </c>
      <c r="K897">
        <f>IF(AND(Banking_Credit_Risk_Dirty[[#This Row],[Borrower_Credit_Score]]&gt;=300,Banking_Credit_Risk_Dirty[[#This Row],[Borrower_Credit_Score]]&lt;=850),Banking_Credit_Risk_Dirty[[#This Row],[Borrower_Credit_Score]],"")</f>
        <v>483</v>
      </c>
    </row>
    <row r="898" spans="1:11" x14ac:dyDescent="0.25">
      <c r="A898" s="2" t="s">
        <v>920</v>
      </c>
      <c r="B898" s="2" t="s">
        <v>15</v>
      </c>
      <c r="C898" s="1">
        <v>45878</v>
      </c>
      <c r="D898">
        <v>117035</v>
      </c>
      <c r="E898">
        <v>776</v>
      </c>
      <c r="F898">
        <v>0.22</v>
      </c>
      <c r="G898">
        <v>0</v>
      </c>
      <c r="H898" s="2" t="s">
        <v>41</v>
      </c>
      <c r="I898" s="2" t="s">
        <v>13</v>
      </c>
      <c r="J898">
        <v>13</v>
      </c>
      <c r="K898">
        <f>IF(AND(Banking_Credit_Risk_Dirty[[#This Row],[Borrower_Credit_Score]]&gt;=300,Banking_Credit_Risk_Dirty[[#This Row],[Borrower_Credit_Score]]&lt;=850),Banking_Credit_Risk_Dirty[[#This Row],[Borrower_Credit_Score]],"")</f>
        <v>776</v>
      </c>
    </row>
    <row r="899" spans="1:11" x14ac:dyDescent="0.25">
      <c r="A899" s="2" t="s">
        <v>921</v>
      </c>
      <c r="B899" s="2" t="s">
        <v>43</v>
      </c>
      <c r="C899" s="1">
        <v>45803</v>
      </c>
      <c r="D899">
        <v>95309</v>
      </c>
      <c r="E899">
        <v>551</v>
      </c>
      <c r="F899">
        <v>0.51</v>
      </c>
      <c r="G899">
        <v>4</v>
      </c>
      <c r="H899" s="2" t="s">
        <v>16</v>
      </c>
      <c r="I899" s="2" t="s">
        <v>23</v>
      </c>
      <c r="J899">
        <v>15</v>
      </c>
      <c r="K899">
        <f>IF(AND(Banking_Credit_Risk_Dirty[[#This Row],[Borrower_Credit_Score]]&gt;=300,Banking_Credit_Risk_Dirty[[#This Row],[Borrower_Credit_Score]]&lt;=850),Banking_Credit_Risk_Dirty[[#This Row],[Borrower_Credit_Score]],"")</f>
        <v>551</v>
      </c>
    </row>
    <row r="900" spans="1:11" x14ac:dyDescent="0.25">
      <c r="A900" s="2" t="s">
        <v>922</v>
      </c>
      <c r="B900" s="2" t="s">
        <v>15</v>
      </c>
      <c r="C900" s="1">
        <v>45988</v>
      </c>
      <c r="D900">
        <v>50427</v>
      </c>
      <c r="E900">
        <v>579</v>
      </c>
      <c r="F900">
        <v>0.42</v>
      </c>
      <c r="G900">
        <v>0</v>
      </c>
      <c r="H900" s="2" t="s">
        <v>16</v>
      </c>
      <c r="I900" s="2" t="s">
        <v>13</v>
      </c>
      <c r="J900">
        <v>9</v>
      </c>
      <c r="K900">
        <f>IF(AND(Banking_Credit_Risk_Dirty[[#This Row],[Borrower_Credit_Score]]&gt;=300,Banking_Credit_Risk_Dirty[[#This Row],[Borrower_Credit_Score]]&lt;=850),Banking_Credit_Risk_Dirty[[#This Row],[Borrower_Credit_Score]],"")</f>
        <v>579</v>
      </c>
    </row>
    <row r="901" spans="1:11" x14ac:dyDescent="0.25">
      <c r="A901" s="2" t="s">
        <v>923</v>
      </c>
      <c r="B901" s="2" t="s">
        <v>43</v>
      </c>
      <c r="C901" s="1">
        <v>45918</v>
      </c>
      <c r="D901">
        <v>23061</v>
      </c>
      <c r="E901">
        <v>824</v>
      </c>
      <c r="F901">
        <v>0.28999999999999998</v>
      </c>
      <c r="G901">
        <v>5</v>
      </c>
      <c r="H901" s="2" t="s">
        <v>12</v>
      </c>
      <c r="I901" s="2" t="s">
        <v>17</v>
      </c>
      <c r="J901">
        <v>11</v>
      </c>
      <c r="K901">
        <f>IF(AND(Banking_Credit_Risk_Dirty[[#This Row],[Borrower_Credit_Score]]&gt;=300,Banking_Credit_Risk_Dirty[[#This Row],[Borrower_Credit_Score]]&lt;=850),Banking_Credit_Risk_Dirty[[#This Row],[Borrower_Credit_Score]],"")</f>
        <v>824</v>
      </c>
    </row>
    <row r="902" spans="1:11" x14ac:dyDescent="0.25">
      <c r="A902" s="2" t="s">
        <v>924</v>
      </c>
      <c r="B902" s="2" t="s">
        <v>43</v>
      </c>
      <c r="C902" s="1">
        <v>45813</v>
      </c>
      <c r="D902">
        <v>114438</v>
      </c>
      <c r="E902">
        <v>506</v>
      </c>
      <c r="F902">
        <v>0.64</v>
      </c>
      <c r="G902">
        <v>3</v>
      </c>
      <c r="H902" s="2" t="s">
        <v>41</v>
      </c>
      <c r="I902" s="2" t="s">
        <v>89</v>
      </c>
      <c r="J902">
        <v>15</v>
      </c>
      <c r="K902">
        <f>IF(AND(Banking_Credit_Risk_Dirty[[#This Row],[Borrower_Credit_Score]]&gt;=300,Banking_Credit_Risk_Dirty[[#This Row],[Borrower_Credit_Score]]&lt;=850),Banking_Credit_Risk_Dirty[[#This Row],[Borrower_Credit_Score]],"")</f>
        <v>506</v>
      </c>
    </row>
    <row r="903" spans="1:11" x14ac:dyDescent="0.25">
      <c r="A903" s="2" t="s">
        <v>925</v>
      </c>
      <c r="B903" s="2" t="s">
        <v>21</v>
      </c>
      <c r="C903" s="1">
        <v>45725</v>
      </c>
      <c r="D903">
        <v>106485</v>
      </c>
      <c r="E903">
        <v>805</v>
      </c>
      <c r="F903">
        <v>0.61</v>
      </c>
      <c r="G903">
        <v>0</v>
      </c>
      <c r="H903" s="2" t="s">
        <v>19</v>
      </c>
      <c r="I903" s="2" t="s">
        <v>13</v>
      </c>
      <c r="J903">
        <v>18</v>
      </c>
      <c r="K903">
        <f>IF(AND(Banking_Credit_Risk_Dirty[[#This Row],[Borrower_Credit_Score]]&gt;=300,Banking_Credit_Risk_Dirty[[#This Row],[Borrower_Credit_Score]]&lt;=850),Banking_Credit_Risk_Dirty[[#This Row],[Borrower_Credit_Score]],"")</f>
        <v>805</v>
      </c>
    </row>
    <row r="904" spans="1:11" x14ac:dyDescent="0.25">
      <c r="A904" s="2" t="s">
        <v>926</v>
      </c>
      <c r="B904" s="2" t="s">
        <v>11</v>
      </c>
      <c r="C904" s="1">
        <v>45679</v>
      </c>
      <c r="D904">
        <v>44811</v>
      </c>
      <c r="E904">
        <v>637</v>
      </c>
      <c r="F904">
        <v>0.4</v>
      </c>
      <c r="G904">
        <v>5</v>
      </c>
      <c r="H904" s="2" t="s">
        <v>27</v>
      </c>
      <c r="I904" s="2" t="s">
        <v>23</v>
      </c>
      <c r="J904">
        <v>19</v>
      </c>
      <c r="K904">
        <f>IF(AND(Banking_Credit_Risk_Dirty[[#This Row],[Borrower_Credit_Score]]&gt;=300,Banking_Credit_Risk_Dirty[[#This Row],[Borrower_Credit_Score]]&lt;=850),Banking_Credit_Risk_Dirty[[#This Row],[Borrower_Credit_Score]],"")</f>
        <v>637</v>
      </c>
    </row>
    <row r="905" spans="1:11" x14ac:dyDescent="0.25">
      <c r="A905" s="2" t="s">
        <v>927</v>
      </c>
      <c r="B905" s="2" t="s">
        <v>15</v>
      </c>
      <c r="C905" s="1">
        <v>45894</v>
      </c>
      <c r="D905">
        <v>127149</v>
      </c>
      <c r="E905">
        <v>563</v>
      </c>
      <c r="F905">
        <v>0.33</v>
      </c>
      <c r="G905">
        <v>0</v>
      </c>
      <c r="H905" s="2" t="s">
        <v>12</v>
      </c>
      <c r="I905" s="2" t="s">
        <v>13</v>
      </c>
      <c r="J905">
        <v>12</v>
      </c>
      <c r="K905">
        <f>IF(AND(Banking_Credit_Risk_Dirty[[#This Row],[Borrower_Credit_Score]]&gt;=300,Banking_Credit_Risk_Dirty[[#This Row],[Borrower_Credit_Score]]&lt;=850),Banking_Credit_Risk_Dirty[[#This Row],[Borrower_Credit_Score]],"")</f>
        <v>563</v>
      </c>
    </row>
    <row r="906" spans="1:11" x14ac:dyDescent="0.25">
      <c r="A906" s="2" t="s">
        <v>928</v>
      </c>
      <c r="B906" s="2" t="s">
        <v>11</v>
      </c>
      <c r="C906" s="1">
        <v>45878</v>
      </c>
      <c r="D906">
        <v>23766</v>
      </c>
      <c r="E906">
        <v>796</v>
      </c>
      <c r="F906">
        <v>0.57999999999999996</v>
      </c>
      <c r="G906">
        <v>0</v>
      </c>
      <c r="H906" s="2" t="s">
        <v>27</v>
      </c>
      <c r="I906" s="2" t="s">
        <v>13</v>
      </c>
      <c r="J906">
        <v>13</v>
      </c>
      <c r="K906">
        <f>IF(AND(Banking_Credit_Risk_Dirty[[#This Row],[Borrower_Credit_Score]]&gt;=300,Banking_Credit_Risk_Dirty[[#This Row],[Borrower_Credit_Score]]&lt;=850),Banking_Credit_Risk_Dirty[[#This Row],[Borrower_Credit_Score]],"")</f>
        <v>796</v>
      </c>
    </row>
    <row r="907" spans="1:11" x14ac:dyDescent="0.25">
      <c r="A907" s="2" t="s">
        <v>929</v>
      </c>
      <c r="B907" s="2" t="s">
        <v>11</v>
      </c>
      <c r="C907" s="1">
        <v>45319</v>
      </c>
      <c r="D907">
        <v>40352</v>
      </c>
      <c r="E907">
        <v>726</v>
      </c>
      <c r="F907">
        <v>0.33</v>
      </c>
      <c r="G907">
        <v>2</v>
      </c>
      <c r="H907" s="2" t="s">
        <v>22</v>
      </c>
      <c r="I907" s="2" t="s">
        <v>23</v>
      </c>
      <c r="J907">
        <v>31</v>
      </c>
      <c r="K907">
        <f>IF(AND(Banking_Credit_Risk_Dirty[[#This Row],[Borrower_Credit_Score]]&gt;=300,Banking_Credit_Risk_Dirty[[#This Row],[Borrower_Credit_Score]]&lt;=850),Banking_Credit_Risk_Dirty[[#This Row],[Borrower_Credit_Score]],"")</f>
        <v>726</v>
      </c>
    </row>
    <row r="908" spans="1:11" x14ac:dyDescent="0.25">
      <c r="A908" s="2" t="s">
        <v>930</v>
      </c>
      <c r="B908" s="2" t="s">
        <v>15</v>
      </c>
      <c r="C908" s="1">
        <v>45691</v>
      </c>
      <c r="D908">
        <v>104891</v>
      </c>
      <c r="E908">
        <v>553</v>
      </c>
      <c r="F908">
        <v>0.4</v>
      </c>
      <c r="G908">
        <v>0</v>
      </c>
      <c r="H908" s="2" t="s">
        <v>22</v>
      </c>
      <c r="I908" s="2" t="s">
        <v>13</v>
      </c>
      <c r="J908">
        <v>19</v>
      </c>
      <c r="K908">
        <f>IF(AND(Banking_Credit_Risk_Dirty[[#This Row],[Borrower_Credit_Score]]&gt;=300,Banking_Credit_Risk_Dirty[[#This Row],[Borrower_Credit_Score]]&lt;=850),Banking_Credit_Risk_Dirty[[#This Row],[Borrower_Credit_Score]],"")</f>
        <v>553</v>
      </c>
    </row>
    <row r="909" spans="1:11" x14ac:dyDescent="0.25">
      <c r="A909" s="2" t="s">
        <v>931</v>
      </c>
      <c r="B909" s="2" t="s">
        <v>15</v>
      </c>
      <c r="C909" s="1">
        <v>45883</v>
      </c>
      <c r="D909">
        <v>120968</v>
      </c>
      <c r="E909">
        <v>700</v>
      </c>
      <c r="F909">
        <v>0.3</v>
      </c>
      <c r="G909">
        <v>0</v>
      </c>
      <c r="H909" s="2" t="s">
        <v>12</v>
      </c>
      <c r="I909" s="2" t="s">
        <v>13</v>
      </c>
      <c r="J909">
        <v>12</v>
      </c>
      <c r="K909">
        <f>IF(AND(Banking_Credit_Risk_Dirty[[#This Row],[Borrower_Credit_Score]]&gt;=300,Banking_Credit_Risk_Dirty[[#This Row],[Borrower_Credit_Score]]&lt;=850),Banking_Credit_Risk_Dirty[[#This Row],[Borrower_Credit_Score]],"")</f>
        <v>700</v>
      </c>
    </row>
    <row r="910" spans="1:11" x14ac:dyDescent="0.25">
      <c r="A910" s="2" t="s">
        <v>932</v>
      </c>
      <c r="B910" s="2" t="s">
        <v>21</v>
      </c>
      <c r="C910" s="1">
        <v>45904</v>
      </c>
      <c r="D910">
        <v>101928</v>
      </c>
      <c r="E910">
        <v>529</v>
      </c>
      <c r="F910">
        <v>0.39</v>
      </c>
      <c r="G910">
        <v>0</v>
      </c>
      <c r="H910" s="2" t="s">
        <v>27</v>
      </c>
      <c r="I910" s="2" t="s">
        <v>13</v>
      </c>
      <c r="J910">
        <v>12</v>
      </c>
      <c r="K910">
        <f>IF(AND(Banking_Credit_Risk_Dirty[[#This Row],[Borrower_Credit_Score]]&gt;=300,Banking_Credit_Risk_Dirty[[#This Row],[Borrower_Credit_Score]]&lt;=850),Banking_Credit_Risk_Dirty[[#This Row],[Borrower_Credit_Score]],"")</f>
        <v>529</v>
      </c>
    </row>
    <row r="911" spans="1:11" x14ac:dyDescent="0.25">
      <c r="A911" s="2" t="s">
        <v>933</v>
      </c>
      <c r="B911" s="2" t="s">
        <v>21</v>
      </c>
      <c r="C911" s="1">
        <v>45412</v>
      </c>
      <c r="D911">
        <v>17608</v>
      </c>
      <c r="E911">
        <v>782</v>
      </c>
      <c r="F911">
        <v>0.16</v>
      </c>
      <c r="G911">
        <v>1</v>
      </c>
      <c r="H911" s="2" t="s">
        <v>41</v>
      </c>
      <c r="I911" s="2" t="s">
        <v>23</v>
      </c>
      <c r="J911">
        <v>28</v>
      </c>
      <c r="K911">
        <f>IF(AND(Banking_Credit_Risk_Dirty[[#This Row],[Borrower_Credit_Score]]&gt;=300,Banking_Credit_Risk_Dirty[[#This Row],[Borrower_Credit_Score]]&lt;=850),Banking_Credit_Risk_Dirty[[#This Row],[Borrower_Credit_Score]],"")</f>
        <v>782</v>
      </c>
    </row>
    <row r="912" spans="1:11" x14ac:dyDescent="0.25">
      <c r="A912" s="2" t="s">
        <v>934</v>
      </c>
      <c r="B912" s="2" t="s">
        <v>15</v>
      </c>
      <c r="C912" s="1">
        <v>45847</v>
      </c>
      <c r="D912">
        <v>10786</v>
      </c>
      <c r="E912">
        <v>636</v>
      </c>
      <c r="F912">
        <v>0.3</v>
      </c>
      <c r="G912">
        <v>5</v>
      </c>
      <c r="H912" s="2" t="s">
        <v>22</v>
      </c>
      <c r="I912" s="2" t="s">
        <v>17</v>
      </c>
      <c r="J912">
        <v>14</v>
      </c>
      <c r="K912">
        <f>IF(AND(Banking_Credit_Risk_Dirty[[#This Row],[Borrower_Credit_Score]]&gt;=300,Banking_Credit_Risk_Dirty[[#This Row],[Borrower_Credit_Score]]&lt;=850),Banking_Credit_Risk_Dirty[[#This Row],[Borrower_Credit_Score]],"")</f>
        <v>636</v>
      </c>
    </row>
    <row r="913" spans="1:11" x14ac:dyDescent="0.25">
      <c r="A913" s="2" t="s">
        <v>935</v>
      </c>
      <c r="B913" s="2" t="s">
        <v>21</v>
      </c>
      <c r="C913" s="1">
        <v>45678</v>
      </c>
      <c r="D913">
        <v>39048</v>
      </c>
      <c r="E913">
        <v>635</v>
      </c>
      <c r="F913">
        <v>0.59</v>
      </c>
      <c r="G913">
        <v>4</v>
      </c>
      <c r="H913" s="2" t="s">
        <v>19</v>
      </c>
      <c r="I913" s="2" t="s">
        <v>17</v>
      </c>
      <c r="J913">
        <v>19</v>
      </c>
      <c r="K913">
        <f>IF(AND(Banking_Credit_Risk_Dirty[[#This Row],[Borrower_Credit_Score]]&gt;=300,Banking_Credit_Risk_Dirty[[#This Row],[Borrower_Credit_Score]]&lt;=850),Banking_Credit_Risk_Dirty[[#This Row],[Borrower_Credit_Score]],"")</f>
        <v>635</v>
      </c>
    </row>
    <row r="914" spans="1:11" x14ac:dyDescent="0.25">
      <c r="A914" s="2" t="s">
        <v>936</v>
      </c>
      <c r="B914" s="2" t="s">
        <v>43</v>
      </c>
      <c r="C914" s="1">
        <v>45448</v>
      </c>
      <c r="D914">
        <v>148167</v>
      </c>
      <c r="E914">
        <v>835</v>
      </c>
      <c r="F914">
        <v>0.51</v>
      </c>
      <c r="G914">
        <v>0</v>
      </c>
      <c r="H914" s="2" t="s">
        <v>27</v>
      </c>
      <c r="I914" s="2" t="s">
        <v>13</v>
      </c>
      <c r="J914">
        <v>27</v>
      </c>
      <c r="K914">
        <f>IF(AND(Banking_Credit_Risk_Dirty[[#This Row],[Borrower_Credit_Score]]&gt;=300,Banking_Credit_Risk_Dirty[[#This Row],[Borrower_Credit_Score]]&lt;=850),Banking_Credit_Risk_Dirty[[#This Row],[Borrower_Credit_Score]],"")</f>
        <v>835</v>
      </c>
    </row>
    <row r="915" spans="1:11" x14ac:dyDescent="0.25">
      <c r="A915" s="2" t="s">
        <v>937</v>
      </c>
      <c r="B915" s="2" t="s">
        <v>11</v>
      </c>
      <c r="C915" s="1">
        <v>45955</v>
      </c>
      <c r="D915">
        <v>140957</v>
      </c>
      <c r="E915">
        <v>820</v>
      </c>
      <c r="F915">
        <v>0.31</v>
      </c>
      <c r="G915">
        <v>0</v>
      </c>
      <c r="H915" s="2" t="s">
        <v>27</v>
      </c>
      <c r="I915" s="2" t="s">
        <v>13</v>
      </c>
      <c r="J915">
        <v>10</v>
      </c>
      <c r="K915">
        <f>IF(AND(Banking_Credit_Risk_Dirty[[#This Row],[Borrower_Credit_Score]]&gt;=300,Banking_Credit_Risk_Dirty[[#This Row],[Borrower_Credit_Score]]&lt;=850),Banking_Credit_Risk_Dirty[[#This Row],[Borrower_Credit_Score]],"")</f>
        <v>820</v>
      </c>
    </row>
    <row r="916" spans="1:11" x14ac:dyDescent="0.25">
      <c r="A916" s="2" t="s">
        <v>938</v>
      </c>
      <c r="B916" s="2" t="s">
        <v>43</v>
      </c>
      <c r="C916" s="1">
        <v>45531</v>
      </c>
      <c r="D916">
        <v>143196</v>
      </c>
      <c r="E916">
        <v>775</v>
      </c>
      <c r="F916">
        <v>0.33</v>
      </c>
      <c r="G916">
        <v>0</v>
      </c>
      <c r="H916" s="2" t="s">
        <v>41</v>
      </c>
      <c r="I916" s="2" t="s">
        <v>13</v>
      </c>
      <c r="J916">
        <v>24</v>
      </c>
      <c r="K916">
        <f>IF(AND(Banking_Credit_Risk_Dirty[[#This Row],[Borrower_Credit_Score]]&gt;=300,Banking_Credit_Risk_Dirty[[#This Row],[Borrower_Credit_Score]]&lt;=850),Banking_Credit_Risk_Dirty[[#This Row],[Borrower_Credit_Score]],"")</f>
        <v>775</v>
      </c>
    </row>
    <row r="917" spans="1:11" x14ac:dyDescent="0.25">
      <c r="A917" s="2" t="s">
        <v>939</v>
      </c>
      <c r="B917" s="2" t="s">
        <v>21</v>
      </c>
      <c r="C917" s="1">
        <v>45961</v>
      </c>
      <c r="D917">
        <v>33564</v>
      </c>
      <c r="E917">
        <v>456</v>
      </c>
      <c r="F917">
        <v>0.18</v>
      </c>
      <c r="G917">
        <v>0</v>
      </c>
      <c r="H917" s="2" t="s">
        <v>12</v>
      </c>
      <c r="I917" s="2" t="s">
        <v>13</v>
      </c>
      <c r="J917">
        <v>10</v>
      </c>
      <c r="K917">
        <f>IF(AND(Banking_Credit_Risk_Dirty[[#This Row],[Borrower_Credit_Score]]&gt;=300,Banking_Credit_Risk_Dirty[[#This Row],[Borrower_Credit_Score]]&lt;=850),Banking_Credit_Risk_Dirty[[#This Row],[Borrower_Credit_Score]],"")</f>
        <v>456</v>
      </c>
    </row>
    <row r="918" spans="1:11" x14ac:dyDescent="0.25">
      <c r="A918" s="2" t="s">
        <v>940</v>
      </c>
      <c r="B918" s="2" t="s">
        <v>11</v>
      </c>
      <c r="C918" s="1">
        <v>45753</v>
      </c>
      <c r="D918">
        <v>111891</v>
      </c>
      <c r="E918">
        <v>767</v>
      </c>
      <c r="F918">
        <v>0.47</v>
      </c>
      <c r="G918">
        <v>0</v>
      </c>
      <c r="H918" s="2" t="s">
        <v>16</v>
      </c>
      <c r="I918" s="2" t="s">
        <v>13</v>
      </c>
      <c r="J918">
        <v>17</v>
      </c>
      <c r="K918">
        <f>IF(AND(Banking_Credit_Risk_Dirty[[#This Row],[Borrower_Credit_Score]]&gt;=300,Banking_Credit_Risk_Dirty[[#This Row],[Borrower_Credit_Score]]&lt;=850),Banking_Credit_Risk_Dirty[[#This Row],[Borrower_Credit_Score]],"")</f>
        <v>767</v>
      </c>
    </row>
    <row r="919" spans="1:11" x14ac:dyDescent="0.25">
      <c r="A919" s="2" t="s">
        <v>941</v>
      </c>
      <c r="B919" s="2" t="s">
        <v>43</v>
      </c>
      <c r="C919" s="1">
        <v>45965</v>
      </c>
      <c r="D919">
        <v>30953</v>
      </c>
      <c r="E919">
        <v>580</v>
      </c>
      <c r="F919">
        <v>0.46</v>
      </c>
      <c r="G919">
        <v>3</v>
      </c>
      <c r="H919" s="2" t="s">
        <v>12</v>
      </c>
      <c r="I919" s="2" t="s">
        <v>23</v>
      </c>
      <c r="J919">
        <v>10</v>
      </c>
      <c r="K919">
        <f>IF(AND(Banking_Credit_Risk_Dirty[[#This Row],[Borrower_Credit_Score]]&gt;=300,Banking_Credit_Risk_Dirty[[#This Row],[Borrower_Credit_Score]]&lt;=850),Banking_Credit_Risk_Dirty[[#This Row],[Borrower_Credit_Score]],"")</f>
        <v>580</v>
      </c>
    </row>
    <row r="920" spans="1:11" x14ac:dyDescent="0.25">
      <c r="A920" s="2" t="s">
        <v>942</v>
      </c>
      <c r="B920" s="2" t="s">
        <v>21</v>
      </c>
      <c r="C920" s="1">
        <v>45800</v>
      </c>
      <c r="D920">
        <v>148493</v>
      </c>
      <c r="E920">
        <v>785</v>
      </c>
      <c r="F920">
        <v>0.51</v>
      </c>
      <c r="G920">
        <v>0</v>
      </c>
      <c r="H920" s="2" t="s">
        <v>16</v>
      </c>
      <c r="I920" s="2" t="s">
        <v>13</v>
      </c>
      <c r="J920">
        <v>15</v>
      </c>
      <c r="K920">
        <f>IF(AND(Banking_Credit_Risk_Dirty[[#This Row],[Borrower_Credit_Score]]&gt;=300,Banking_Credit_Risk_Dirty[[#This Row],[Borrower_Credit_Score]]&lt;=850),Banking_Credit_Risk_Dirty[[#This Row],[Borrower_Credit_Score]],"")</f>
        <v>785</v>
      </c>
    </row>
    <row r="921" spans="1:11" x14ac:dyDescent="0.25">
      <c r="A921" s="2" t="s">
        <v>943</v>
      </c>
      <c r="B921" s="2" t="s">
        <v>21</v>
      </c>
      <c r="C921" s="1">
        <v>45596</v>
      </c>
      <c r="D921">
        <v>17547</v>
      </c>
      <c r="E921">
        <v>827</v>
      </c>
      <c r="F921">
        <v>0.35</v>
      </c>
      <c r="G921">
        <v>4</v>
      </c>
      <c r="H921" s="2" t="s">
        <v>19</v>
      </c>
      <c r="I921" s="2" t="s">
        <v>17</v>
      </c>
      <c r="J921">
        <v>22</v>
      </c>
      <c r="K921">
        <f>IF(AND(Banking_Credit_Risk_Dirty[[#This Row],[Borrower_Credit_Score]]&gt;=300,Banking_Credit_Risk_Dirty[[#This Row],[Borrower_Credit_Score]]&lt;=850),Banking_Credit_Risk_Dirty[[#This Row],[Borrower_Credit_Score]],"")</f>
        <v>827</v>
      </c>
    </row>
    <row r="922" spans="1:11" x14ac:dyDescent="0.25">
      <c r="A922" s="2" t="s">
        <v>944</v>
      </c>
      <c r="B922" s="2" t="s">
        <v>11</v>
      </c>
      <c r="C922" s="1">
        <v>45627</v>
      </c>
      <c r="D922">
        <v>134130</v>
      </c>
      <c r="E922">
        <v>703</v>
      </c>
      <c r="F922">
        <v>0.34</v>
      </c>
      <c r="G922">
        <v>0</v>
      </c>
      <c r="H922" s="2" t="s">
        <v>12</v>
      </c>
      <c r="I922" s="2" t="s">
        <v>13</v>
      </c>
      <c r="J922">
        <v>21</v>
      </c>
      <c r="K922">
        <f>IF(AND(Banking_Credit_Risk_Dirty[[#This Row],[Borrower_Credit_Score]]&gt;=300,Banking_Credit_Risk_Dirty[[#This Row],[Borrower_Credit_Score]]&lt;=850),Banking_Credit_Risk_Dirty[[#This Row],[Borrower_Credit_Score]],"")</f>
        <v>703</v>
      </c>
    </row>
    <row r="923" spans="1:11" x14ac:dyDescent="0.25">
      <c r="A923" s="2" t="s">
        <v>945</v>
      </c>
      <c r="B923" s="2" t="s">
        <v>21</v>
      </c>
      <c r="C923" s="1">
        <v>45422</v>
      </c>
      <c r="D923">
        <v>81952</v>
      </c>
      <c r="E923">
        <v>580</v>
      </c>
      <c r="F923">
        <v>0.19</v>
      </c>
      <c r="G923">
        <v>3</v>
      </c>
      <c r="H923" s="2" t="s">
        <v>27</v>
      </c>
      <c r="I923" s="2" t="s">
        <v>17</v>
      </c>
      <c r="J923">
        <v>27</v>
      </c>
      <c r="K923">
        <f>IF(AND(Banking_Credit_Risk_Dirty[[#This Row],[Borrower_Credit_Score]]&gt;=300,Banking_Credit_Risk_Dirty[[#This Row],[Borrower_Credit_Score]]&lt;=850),Banking_Credit_Risk_Dirty[[#This Row],[Borrower_Credit_Score]],"")</f>
        <v>580</v>
      </c>
    </row>
    <row r="924" spans="1:11" x14ac:dyDescent="0.25">
      <c r="A924" s="2" t="s">
        <v>946</v>
      </c>
      <c r="B924" s="2" t="s">
        <v>21</v>
      </c>
      <c r="C924" s="1">
        <v>45906</v>
      </c>
      <c r="D924">
        <v>10147</v>
      </c>
      <c r="E924">
        <v>569</v>
      </c>
      <c r="F924">
        <v>0.33</v>
      </c>
      <c r="G924">
        <v>0</v>
      </c>
      <c r="H924" s="2" t="s">
        <v>41</v>
      </c>
      <c r="I924" s="2" t="s">
        <v>13</v>
      </c>
      <c r="J924">
        <v>12</v>
      </c>
      <c r="K924">
        <f>IF(AND(Banking_Credit_Risk_Dirty[[#This Row],[Borrower_Credit_Score]]&gt;=300,Banking_Credit_Risk_Dirty[[#This Row],[Borrower_Credit_Score]]&lt;=850),Banking_Credit_Risk_Dirty[[#This Row],[Borrower_Credit_Score]],"")</f>
        <v>569</v>
      </c>
    </row>
    <row r="925" spans="1:11" x14ac:dyDescent="0.25">
      <c r="A925" s="2" t="s">
        <v>947</v>
      </c>
      <c r="B925" s="2" t="s">
        <v>21</v>
      </c>
      <c r="C925" s="1">
        <v>45822</v>
      </c>
      <c r="D925">
        <v>77038</v>
      </c>
      <c r="E925">
        <v>-1</v>
      </c>
      <c r="F925">
        <v>0.56999999999999995</v>
      </c>
      <c r="G925">
        <v>3</v>
      </c>
      <c r="H925" s="2" t="s">
        <v>27</v>
      </c>
      <c r="I925" s="2" t="s">
        <v>89</v>
      </c>
      <c r="J925">
        <v>14</v>
      </c>
      <c r="K925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926" spans="1:11" x14ac:dyDescent="0.25">
      <c r="A926" s="2" t="s">
        <v>948</v>
      </c>
      <c r="B926" s="2" t="s">
        <v>15</v>
      </c>
      <c r="C926" s="1">
        <v>45332</v>
      </c>
      <c r="D926">
        <v>104472</v>
      </c>
      <c r="E926">
        <v>662</v>
      </c>
      <c r="F926">
        <v>0.48</v>
      </c>
      <c r="G926">
        <v>0</v>
      </c>
      <c r="H926" s="2" t="s">
        <v>12</v>
      </c>
      <c r="I926" s="2" t="s">
        <v>13</v>
      </c>
      <c r="J926">
        <v>30</v>
      </c>
      <c r="K926">
        <f>IF(AND(Banking_Credit_Risk_Dirty[[#This Row],[Borrower_Credit_Score]]&gt;=300,Banking_Credit_Risk_Dirty[[#This Row],[Borrower_Credit_Score]]&lt;=850),Banking_Credit_Risk_Dirty[[#This Row],[Borrower_Credit_Score]],"")</f>
        <v>662</v>
      </c>
    </row>
    <row r="927" spans="1:11" x14ac:dyDescent="0.25">
      <c r="A927" s="2" t="s">
        <v>949</v>
      </c>
      <c r="B927" s="2" t="s">
        <v>21</v>
      </c>
      <c r="C927" s="1">
        <v>45640</v>
      </c>
      <c r="D927">
        <v>18387</v>
      </c>
      <c r="E927">
        <v>474</v>
      </c>
      <c r="F927">
        <v>0.44</v>
      </c>
      <c r="G927">
        <v>0</v>
      </c>
      <c r="H927" s="2" t="s">
        <v>19</v>
      </c>
      <c r="I927" s="2" t="s">
        <v>13</v>
      </c>
      <c r="J927">
        <v>20</v>
      </c>
      <c r="K927">
        <f>IF(AND(Banking_Credit_Risk_Dirty[[#This Row],[Borrower_Credit_Score]]&gt;=300,Banking_Credit_Risk_Dirty[[#This Row],[Borrower_Credit_Score]]&lt;=850),Banking_Credit_Risk_Dirty[[#This Row],[Borrower_Credit_Score]],"")</f>
        <v>474</v>
      </c>
    </row>
    <row r="928" spans="1:11" x14ac:dyDescent="0.25">
      <c r="A928" s="2" t="s">
        <v>950</v>
      </c>
      <c r="B928" s="2" t="s">
        <v>43</v>
      </c>
      <c r="C928" s="1">
        <v>45405</v>
      </c>
      <c r="D928">
        <v>95916</v>
      </c>
      <c r="E928">
        <v>797</v>
      </c>
      <c r="F928">
        <v>0.22</v>
      </c>
      <c r="G928">
        <v>5</v>
      </c>
      <c r="H928" s="2" t="s">
        <v>19</v>
      </c>
      <c r="I928" s="2" t="s">
        <v>23</v>
      </c>
      <c r="J928">
        <v>28</v>
      </c>
      <c r="K928">
        <f>IF(AND(Banking_Credit_Risk_Dirty[[#This Row],[Borrower_Credit_Score]]&gt;=300,Banking_Credit_Risk_Dirty[[#This Row],[Borrower_Credit_Score]]&lt;=850),Banking_Credit_Risk_Dirty[[#This Row],[Borrower_Credit_Score]],"")</f>
        <v>797</v>
      </c>
    </row>
    <row r="929" spans="1:11" x14ac:dyDescent="0.25">
      <c r="A929" s="2" t="s">
        <v>951</v>
      </c>
      <c r="B929" s="2" t="s">
        <v>21</v>
      </c>
      <c r="C929" s="1">
        <v>45391</v>
      </c>
      <c r="D929">
        <v>19370</v>
      </c>
      <c r="E929">
        <v>786</v>
      </c>
      <c r="F929">
        <v>0.16</v>
      </c>
      <c r="G929">
        <v>5</v>
      </c>
      <c r="H929" s="2" t="s">
        <v>12</v>
      </c>
      <c r="I929" s="2" t="s">
        <v>23</v>
      </c>
      <c r="J929">
        <v>29</v>
      </c>
      <c r="K929">
        <f>IF(AND(Banking_Credit_Risk_Dirty[[#This Row],[Borrower_Credit_Score]]&gt;=300,Banking_Credit_Risk_Dirty[[#This Row],[Borrower_Credit_Score]]&lt;=850),Banking_Credit_Risk_Dirty[[#This Row],[Borrower_Credit_Score]],"")</f>
        <v>786</v>
      </c>
    </row>
    <row r="930" spans="1:11" x14ac:dyDescent="0.25">
      <c r="A930" s="2" t="s">
        <v>952</v>
      </c>
      <c r="B930" s="2" t="s">
        <v>15</v>
      </c>
      <c r="C930" s="1">
        <v>45745</v>
      </c>
      <c r="D930">
        <v>130680</v>
      </c>
      <c r="E930">
        <v>654</v>
      </c>
      <c r="F930">
        <v>0.6</v>
      </c>
      <c r="G930">
        <v>0</v>
      </c>
      <c r="H930" s="2" t="s">
        <v>22</v>
      </c>
      <c r="I930" s="2" t="s">
        <v>13</v>
      </c>
      <c r="J930">
        <v>17</v>
      </c>
      <c r="K930">
        <f>IF(AND(Banking_Credit_Risk_Dirty[[#This Row],[Borrower_Credit_Score]]&gt;=300,Banking_Credit_Risk_Dirty[[#This Row],[Borrower_Credit_Score]]&lt;=850),Banking_Credit_Risk_Dirty[[#This Row],[Borrower_Credit_Score]],"")</f>
        <v>654</v>
      </c>
    </row>
    <row r="931" spans="1:11" x14ac:dyDescent="0.25">
      <c r="A931" s="2" t="s">
        <v>953</v>
      </c>
      <c r="B931" s="2" t="s">
        <v>21</v>
      </c>
      <c r="C931" s="1">
        <v>45563</v>
      </c>
      <c r="D931">
        <v>60841</v>
      </c>
      <c r="E931">
        <v>737</v>
      </c>
      <c r="F931">
        <v>0.57999999999999996</v>
      </c>
      <c r="G931">
        <v>6</v>
      </c>
      <c r="H931" s="2" t="s">
        <v>12</v>
      </c>
      <c r="I931" s="2" t="s">
        <v>17</v>
      </c>
      <c r="J931">
        <v>23</v>
      </c>
      <c r="K931">
        <f>IF(AND(Banking_Credit_Risk_Dirty[[#This Row],[Borrower_Credit_Score]]&gt;=300,Banking_Credit_Risk_Dirty[[#This Row],[Borrower_Credit_Score]]&lt;=850),Banking_Credit_Risk_Dirty[[#This Row],[Borrower_Credit_Score]],"")</f>
        <v>737</v>
      </c>
    </row>
    <row r="932" spans="1:11" x14ac:dyDescent="0.25">
      <c r="A932" s="2" t="s">
        <v>954</v>
      </c>
      <c r="B932" s="2" t="s">
        <v>15</v>
      </c>
      <c r="C932" s="1">
        <v>45742</v>
      </c>
      <c r="D932">
        <v>23637</v>
      </c>
      <c r="E932">
        <v>738</v>
      </c>
      <c r="F932">
        <v>0.55000000000000004</v>
      </c>
      <c r="G932">
        <v>0</v>
      </c>
      <c r="H932" s="2" t="s">
        <v>41</v>
      </c>
      <c r="I932" s="2" t="s">
        <v>13</v>
      </c>
      <c r="J932">
        <v>17</v>
      </c>
      <c r="K932">
        <f>IF(AND(Banking_Credit_Risk_Dirty[[#This Row],[Borrower_Credit_Score]]&gt;=300,Banking_Credit_Risk_Dirty[[#This Row],[Borrower_Credit_Score]]&lt;=850),Banking_Credit_Risk_Dirty[[#This Row],[Borrower_Credit_Score]],"")</f>
        <v>738</v>
      </c>
    </row>
    <row r="933" spans="1:11" x14ac:dyDescent="0.25">
      <c r="A933" s="2" t="s">
        <v>955</v>
      </c>
      <c r="B933" s="2" t="s">
        <v>21</v>
      </c>
      <c r="C933" s="1">
        <v>45621</v>
      </c>
      <c r="D933">
        <v>92151</v>
      </c>
      <c r="E933">
        <v>603</v>
      </c>
      <c r="F933">
        <v>0.35</v>
      </c>
      <c r="G933">
        <v>0</v>
      </c>
      <c r="H933" s="2" t="s">
        <v>22</v>
      </c>
      <c r="I933" s="2" t="s">
        <v>13</v>
      </c>
      <c r="J933">
        <v>21</v>
      </c>
      <c r="K933">
        <f>IF(AND(Banking_Credit_Risk_Dirty[[#This Row],[Borrower_Credit_Score]]&gt;=300,Banking_Credit_Risk_Dirty[[#This Row],[Borrower_Credit_Score]]&lt;=850),Banking_Credit_Risk_Dirty[[#This Row],[Borrower_Credit_Score]],"")</f>
        <v>603</v>
      </c>
    </row>
    <row r="934" spans="1:11" x14ac:dyDescent="0.25">
      <c r="A934" s="2" t="s">
        <v>956</v>
      </c>
      <c r="B934" s="2" t="s">
        <v>15</v>
      </c>
      <c r="C934" s="1">
        <v>45418</v>
      </c>
      <c r="D934">
        <v>57790</v>
      </c>
      <c r="E934">
        <v>511</v>
      </c>
      <c r="F934">
        <v>0.22</v>
      </c>
      <c r="G934">
        <v>0</v>
      </c>
      <c r="H934" s="2" t="s">
        <v>16</v>
      </c>
      <c r="I934" s="2" t="s">
        <v>13</v>
      </c>
      <c r="J934">
        <v>28</v>
      </c>
      <c r="K934">
        <f>IF(AND(Banking_Credit_Risk_Dirty[[#This Row],[Borrower_Credit_Score]]&gt;=300,Banking_Credit_Risk_Dirty[[#This Row],[Borrower_Credit_Score]]&lt;=850),Banking_Credit_Risk_Dirty[[#This Row],[Borrower_Credit_Score]],"")</f>
        <v>511</v>
      </c>
    </row>
    <row r="935" spans="1:11" x14ac:dyDescent="0.25">
      <c r="A935" s="2" t="s">
        <v>957</v>
      </c>
      <c r="B935" s="2" t="s">
        <v>21</v>
      </c>
      <c r="C935" s="1">
        <v>45366</v>
      </c>
      <c r="D935">
        <v>39779</v>
      </c>
      <c r="E935">
        <v>589</v>
      </c>
      <c r="F935">
        <v>0.2</v>
      </c>
      <c r="G935">
        <v>0</v>
      </c>
      <c r="H935" s="2" t="s">
        <v>16</v>
      </c>
      <c r="I935" s="2" t="s">
        <v>13</v>
      </c>
      <c r="J935">
        <v>29</v>
      </c>
      <c r="K935">
        <f>IF(AND(Banking_Credit_Risk_Dirty[[#This Row],[Borrower_Credit_Score]]&gt;=300,Banking_Credit_Risk_Dirty[[#This Row],[Borrower_Credit_Score]]&lt;=850),Banking_Credit_Risk_Dirty[[#This Row],[Borrower_Credit_Score]],"")</f>
        <v>589</v>
      </c>
    </row>
    <row r="936" spans="1:11" x14ac:dyDescent="0.25">
      <c r="A936" s="2" t="s">
        <v>958</v>
      </c>
      <c r="B936" s="2" t="s">
        <v>11</v>
      </c>
      <c r="C936" s="1">
        <v>45879</v>
      </c>
      <c r="D936">
        <v>8777</v>
      </c>
      <c r="E936">
        <v>644</v>
      </c>
      <c r="F936">
        <v>0.38</v>
      </c>
      <c r="G936">
        <v>0</v>
      </c>
      <c r="H936" s="2" t="s">
        <v>16</v>
      </c>
      <c r="I936" s="2" t="s">
        <v>13</v>
      </c>
      <c r="J936">
        <v>12</v>
      </c>
      <c r="K936">
        <f>IF(AND(Banking_Credit_Risk_Dirty[[#This Row],[Borrower_Credit_Score]]&gt;=300,Banking_Credit_Risk_Dirty[[#This Row],[Borrower_Credit_Score]]&lt;=850),Banking_Credit_Risk_Dirty[[#This Row],[Borrower_Credit_Score]],"")</f>
        <v>644</v>
      </c>
    </row>
    <row r="937" spans="1:11" x14ac:dyDescent="0.25">
      <c r="A937" s="2" t="s">
        <v>959</v>
      </c>
      <c r="B937" s="2" t="s">
        <v>15</v>
      </c>
      <c r="C937" s="1">
        <v>45694</v>
      </c>
      <c r="D937">
        <v>106881</v>
      </c>
      <c r="E937">
        <v>830</v>
      </c>
      <c r="F937">
        <v>0.46</v>
      </c>
      <c r="G937">
        <v>2</v>
      </c>
      <c r="H937" s="2" t="s">
        <v>19</v>
      </c>
      <c r="I937" s="2" t="s">
        <v>17</v>
      </c>
      <c r="J937">
        <v>19</v>
      </c>
      <c r="K937">
        <f>IF(AND(Banking_Credit_Risk_Dirty[[#This Row],[Borrower_Credit_Score]]&gt;=300,Banking_Credit_Risk_Dirty[[#This Row],[Borrower_Credit_Score]]&lt;=850),Banking_Credit_Risk_Dirty[[#This Row],[Borrower_Credit_Score]],"")</f>
        <v>830</v>
      </c>
    </row>
    <row r="938" spans="1:11" x14ac:dyDescent="0.25">
      <c r="A938" s="2" t="s">
        <v>960</v>
      </c>
      <c r="B938" s="2" t="s">
        <v>43</v>
      </c>
      <c r="C938" s="1">
        <v>45879</v>
      </c>
      <c r="D938">
        <v>77948</v>
      </c>
      <c r="E938">
        <v>-1</v>
      </c>
      <c r="F938">
        <v>0.42</v>
      </c>
      <c r="G938">
        <v>0</v>
      </c>
      <c r="H938" s="2" t="s">
        <v>12</v>
      </c>
      <c r="I938" s="2" t="s">
        <v>13</v>
      </c>
      <c r="J938">
        <v>12</v>
      </c>
      <c r="K938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939" spans="1:11" x14ac:dyDescent="0.25">
      <c r="A939" s="2" t="s">
        <v>961</v>
      </c>
      <c r="B939" s="2" t="s">
        <v>21</v>
      </c>
      <c r="C939" s="1">
        <v>45510</v>
      </c>
      <c r="D939">
        <v>89489</v>
      </c>
      <c r="E939">
        <v>850</v>
      </c>
      <c r="F939">
        <v>0.49</v>
      </c>
      <c r="G939">
        <v>2</v>
      </c>
      <c r="H939" s="2" t="s">
        <v>12</v>
      </c>
      <c r="I939" s="2" t="s">
        <v>23</v>
      </c>
      <c r="J939">
        <v>25</v>
      </c>
      <c r="K939">
        <f>IF(AND(Banking_Credit_Risk_Dirty[[#This Row],[Borrower_Credit_Score]]&gt;=300,Banking_Credit_Risk_Dirty[[#This Row],[Borrower_Credit_Score]]&lt;=850),Banking_Credit_Risk_Dirty[[#This Row],[Borrower_Credit_Score]],"")</f>
        <v>850</v>
      </c>
    </row>
    <row r="940" spans="1:11" x14ac:dyDescent="0.25">
      <c r="A940" s="2" t="s">
        <v>962</v>
      </c>
      <c r="B940" s="2" t="s">
        <v>21</v>
      </c>
      <c r="C940" s="1">
        <v>45330</v>
      </c>
      <c r="D940">
        <v>41783</v>
      </c>
      <c r="E940">
        <v>468</v>
      </c>
      <c r="F940">
        <v>0.56999999999999995</v>
      </c>
      <c r="G940">
        <v>4</v>
      </c>
      <c r="H940" s="2" t="s">
        <v>22</v>
      </c>
      <c r="I940" s="2" t="s">
        <v>89</v>
      </c>
      <c r="J940">
        <v>31</v>
      </c>
      <c r="K940">
        <f>IF(AND(Banking_Credit_Risk_Dirty[[#This Row],[Borrower_Credit_Score]]&gt;=300,Banking_Credit_Risk_Dirty[[#This Row],[Borrower_Credit_Score]]&lt;=850),Banking_Credit_Risk_Dirty[[#This Row],[Borrower_Credit_Score]],"")</f>
        <v>468</v>
      </c>
    </row>
    <row r="941" spans="1:11" x14ac:dyDescent="0.25">
      <c r="A941" s="2" t="s">
        <v>963</v>
      </c>
      <c r="B941" s="2" t="s">
        <v>21</v>
      </c>
      <c r="C941" s="1">
        <v>45926</v>
      </c>
      <c r="D941">
        <v>115501</v>
      </c>
      <c r="E941">
        <v>531</v>
      </c>
      <c r="F941">
        <v>0.28000000000000003</v>
      </c>
      <c r="G941">
        <v>1</v>
      </c>
      <c r="H941" s="2" t="s">
        <v>16</v>
      </c>
      <c r="I941" s="2" t="s">
        <v>17</v>
      </c>
      <c r="J941">
        <v>11</v>
      </c>
      <c r="K941">
        <f>IF(AND(Banking_Credit_Risk_Dirty[[#This Row],[Borrower_Credit_Score]]&gt;=300,Banking_Credit_Risk_Dirty[[#This Row],[Borrower_Credit_Score]]&lt;=850),Banking_Credit_Risk_Dirty[[#This Row],[Borrower_Credit_Score]],"")</f>
        <v>531</v>
      </c>
    </row>
    <row r="942" spans="1:11" x14ac:dyDescent="0.25">
      <c r="A942" s="2" t="s">
        <v>964</v>
      </c>
      <c r="B942" s="2" t="s">
        <v>11</v>
      </c>
      <c r="C942" s="1">
        <v>45484</v>
      </c>
      <c r="D942">
        <v>143788</v>
      </c>
      <c r="E942">
        <v>563</v>
      </c>
      <c r="F942">
        <v>0.23</v>
      </c>
      <c r="G942">
        <v>3</v>
      </c>
      <c r="H942" s="2" t="s">
        <v>22</v>
      </c>
      <c r="I942" s="2" t="s">
        <v>17</v>
      </c>
      <c r="J942">
        <v>25</v>
      </c>
      <c r="K942">
        <f>IF(AND(Banking_Credit_Risk_Dirty[[#This Row],[Borrower_Credit_Score]]&gt;=300,Banking_Credit_Risk_Dirty[[#This Row],[Borrower_Credit_Score]]&lt;=850),Banking_Credit_Risk_Dirty[[#This Row],[Borrower_Credit_Score]],"")</f>
        <v>563</v>
      </c>
    </row>
    <row r="943" spans="1:11" x14ac:dyDescent="0.25">
      <c r="A943" s="2" t="s">
        <v>965</v>
      </c>
      <c r="B943" s="2" t="s">
        <v>21</v>
      </c>
      <c r="C943" s="1">
        <v>45433</v>
      </c>
      <c r="D943">
        <v>59459</v>
      </c>
      <c r="E943">
        <v>522</v>
      </c>
      <c r="F943">
        <v>0.27</v>
      </c>
      <c r="G943">
        <v>5</v>
      </c>
      <c r="H943" s="2" t="s">
        <v>22</v>
      </c>
      <c r="I943" s="2" t="s">
        <v>23</v>
      </c>
      <c r="J943">
        <v>27</v>
      </c>
      <c r="K943">
        <f>IF(AND(Banking_Credit_Risk_Dirty[[#This Row],[Borrower_Credit_Score]]&gt;=300,Banking_Credit_Risk_Dirty[[#This Row],[Borrower_Credit_Score]]&lt;=850),Banking_Credit_Risk_Dirty[[#This Row],[Borrower_Credit_Score]],"")</f>
        <v>522</v>
      </c>
    </row>
    <row r="944" spans="1:11" x14ac:dyDescent="0.25">
      <c r="A944" s="2" t="s">
        <v>966</v>
      </c>
      <c r="B944" s="2" t="s">
        <v>21</v>
      </c>
      <c r="C944" s="1">
        <v>45371</v>
      </c>
      <c r="D944">
        <v>121334</v>
      </c>
      <c r="E944">
        <v>497</v>
      </c>
      <c r="F944">
        <v>0.4</v>
      </c>
      <c r="G944">
        <v>4</v>
      </c>
      <c r="H944" s="2" t="s">
        <v>19</v>
      </c>
      <c r="I944" s="2" t="s">
        <v>17</v>
      </c>
      <c r="J944">
        <v>29</v>
      </c>
      <c r="K944">
        <f>IF(AND(Banking_Credit_Risk_Dirty[[#This Row],[Borrower_Credit_Score]]&gt;=300,Banking_Credit_Risk_Dirty[[#This Row],[Borrower_Credit_Score]]&lt;=850),Banking_Credit_Risk_Dirty[[#This Row],[Borrower_Credit_Score]],"")</f>
        <v>497</v>
      </c>
    </row>
    <row r="945" spans="1:11" x14ac:dyDescent="0.25">
      <c r="A945" s="2" t="s">
        <v>967</v>
      </c>
      <c r="B945" s="2" t="s">
        <v>43</v>
      </c>
      <c r="C945" s="1">
        <v>45867</v>
      </c>
      <c r="D945">
        <v>69991</v>
      </c>
      <c r="E945">
        <v>629</v>
      </c>
      <c r="F945">
        <v>0.62</v>
      </c>
      <c r="G945">
        <v>0</v>
      </c>
      <c r="H945" s="2" t="s">
        <v>12</v>
      </c>
      <c r="I945" s="2" t="s">
        <v>13</v>
      </c>
      <c r="J945">
        <v>13</v>
      </c>
      <c r="K945">
        <f>IF(AND(Banking_Credit_Risk_Dirty[[#This Row],[Borrower_Credit_Score]]&gt;=300,Banking_Credit_Risk_Dirty[[#This Row],[Borrower_Credit_Score]]&lt;=850),Banking_Credit_Risk_Dirty[[#This Row],[Borrower_Credit_Score]],"")</f>
        <v>629</v>
      </c>
    </row>
    <row r="946" spans="1:11" x14ac:dyDescent="0.25">
      <c r="A946" s="2" t="s">
        <v>968</v>
      </c>
      <c r="B946" s="2" t="s">
        <v>11</v>
      </c>
      <c r="C946" s="1">
        <v>45326</v>
      </c>
      <c r="D946">
        <v>120300</v>
      </c>
      <c r="E946">
        <v>484</v>
      </c>
      <c r="F946">
        <v>0.63</v>
      </c>
      <c r="G946">
        <v>6</v>
      </c>
      <c r="H946" s="2" t="s">
        <v>22</v>
      </c>
      <c r="I946" s="2" t="s">
        <v>89</v>
      </c>
      <c r="J946">
        <v>31</v>
      </c>
      <c r="K946">
        <f>IF(AND(Banking_Credit_Risk_Dirty[[#This Row],[Borrower_Credit_Score]]&gt;=300,Banking_Credit_Risk_Dirty[[#This Row],[Borrower_Credit_Score]]&lt;=850),Banking_Credit_Risk_Dirty[[#This Row],[Borrower_Credit_Score]],"")</f>
        <v>484</v>
      </c>
    </row>
    <row r="947" spans="1:11" x14ac:dyDescent="0.25">
      <c r="A947" s="2" t="s">
        <v>969</v>
      </c>
      <c r="B947" s="2" t="s">
        <v>21</v>
      </c>
      <c r="C947" s="1">
        <v>45951</v>
      </c>
      <c r="D947">
        <v>119846</v>
      </c>
      <c r="E947">
        <v>477</v>
      </c>
      <c r="F947">
        <v>0.48</v>
      </c>
      <c r="G947">
        <v>3</v>
      </c>
      <c r="H947" s="2" t="s">
        <v>41</v>
      </c>
      <c r="I947" s="2" t="s">
        <v>89</v>
      </c>
      <c r="J947">
        <v>10</v>
      </c>
      <c r="K947">
        <f>IF(AND(Banking_Credit_Risk_Dirty[[#This Row],[Borrower_Credit_Score]]&gt;=300,Banking_Credit_Risk_Dirty[[#This Row],[Borrower_Credit_Score]]&lt;=850),Banking_Credit_Risk_Dirty[[#This Row],[Borrower_Credit_Score]],"")</f>
        <v>477</v>
      </c>
    </row>
    <row r="948" spans="1:11" x14ac:dyDescent="0.25">
      <c r="A948" s="2" t="s">
        <v>970</v>
      </c>
      <c r="B948" s="2" t="s">
        <v>15</v>
      </c>
      <c r="C948" s="1">
        <v>45532</v>
      </c>
      <c r="D948">
        <v>45608</v>
      </c>
      <c r="E948">
        <v>-1</v>
      </c>
      <c r="F948">
        <v>0.26</v>
      </c>
      <c r="G948">
        <v>1</v>
      </c>
      <c r="H948" s="2" t="s">
        <v>22</v>
      </c>
      <c r="I948" s="2" t="s">
        <v>23</v>
      </c>
      <c r="J948">
        <v>24</v>
      </c>
      <c r="K948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949" spans="1:11" x14ac:dyDescent="0.25">
      <c r="A949" s="2" t="s">
        <v>971</v>
      </c>
      <c r="B949" s="2" t="s">
        <v>15</v>
      </c>
      <c r="C949" s="1">
        <v>45742</v>
      </c>
      <c r="D949">
        <v>122909</v>
      </c>
      <c r="E949">
        <v>752</v>
      </c>
      <c r="F949">
        <v>0.23</v>
      </c>
      <c r="G949">
        <v>0</v>
      </c>
      <c r="H949" s="2" t="s">
        <v>22</v>
      </c>
      <c r="I949" s="2" t="s">
        <v>13</v>
      </c>
      <c r="J949">
        <v>17</v>
      </c>
      <c r="K949">
        <f>IF(AND(Banking_Credit_Risk_Dirty[[#This Row],[Borrower_Credit_Score]]&gt;=300,Banking_Credit_Risk_Dirty[[#This Row],[Borrower_Credit_Score]]&lt;=850),Banking_Credit_Risk_Dirty[[#This Row],[Borrower_Credit_Score]],"")</f>
        <v>752</v>
      </c>
    </row>
    <row r="950" spans="1:11" x14ac:dyDescent="0.25">
      <c r="A950" s="2" t="s">
        <v>972</v>
      </c>
      <c r="B950" s="2" t="s">
        <v>11</v>
      </c>
      <c r="C950" s="1">
        <v>45346</v>
      </c>
      <c r="D950">
        <v>10181</v>
      </c>
      <c r="E950">
        <v>549</v>
      </c>
      <c r="F950">
        <v>0.42</v>
      </c>
      <c r="G950">
        <v>2</v>
      </c>
      <c r="H950" s="2" t="s">
        <v>19</v>
      </c>
      <c r="I950" s="2" t="s">
        <v>23</v>
      </c>
      <c r="J950">
        <v>30</v>
      </c>
      <c r="K950">
        <f>IF(AND(Banking_Credit_Risk_Dirty[[#This Row],[Borrower_Credit_Score]]&gt;=300,Banking_Credit_Risk_Dirty[[#This Row],[Borrower_Credit_Score]]&lt;=850),Banking_Credit_Risk_Dirty[[#This Row],[Borrower_Credit_Score]],"")</f>
        <v>549</v>
      </c>
    </row>
    <row r="951" spans="1:11" x14ac:dyDescent="0.25">
      <c r="A951" s="2" t="s">
        <v>973</v>
      </c>
      <c r="B951" s="2" t="s">
        <v>15</v>
      </c>
      <c r="C951" s="1">
        <v>45889</v>
      </c>
      <c r="D951">
        <v>38512</v>
      </c>
      <c r="E951">
        <v>655</v>
      </c>
      <c r="F951">
        <v>0.15</v>
      </c>
      <c r="G951">
        <v>2</v>
      </c>
      <c r="H951" s="2" t="s">
        <v>12</v>
      </c>
      <c r="I951" s="2" t="s">
        <v>23</v>
      </c>
      <c r="J951">
        <v>12</v>
      </c>
      <c r="K951">
        <f>IF(AND(Banking_Credit_Risk_Dirty[[#This Row],[Borrower_Credit_Score]]&gt;=300,Banking_Credit_Risk_Dirty[[#This Row],[Borrower_Credit_Score]]&lt;=850),Banking_Credit_Risk_Dirty[[#This Row],[Borrower_Credit_Score]],"")</f>
        <v>655</v>
      </c>
    </row>
    <row r="952" spans="1:11" x14ac:dyDescent="0.25">
      <c r="A952" s="2" t="s">
        <v>974</v>
      </c>
      <c r="B952" s="2" t="s">
        <v>43</v>
      </c>
      <c r="C952" s="1">
        <v>45844</v>
      </c>
      <c r="D952">
        <v>122756</v>
      </c>
      <c r="E952">
        <v>704</v>
      </c>
      <c r="F952">
        <v>0.5</v>
      </c>
      <c r="G952">
        <v>0</v>
      </c>
      <c r="H952" s="2" t="s">
        <v>12</v>
      </c>
      <c r="I952" s="2" t="s">
        <v>13</v>
      </c>
      <c r="J952">
        <v>14</v>
      </c>
      <c r="K952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953" spans="1:11" x14ac:dyDescent="0.25">
      <c r="A953" s="2" t="s">
        <v>975</v>
      </c>
      <c r="B953" s="2" t="s">
        <v>15</v>
      </c>
      <c r="C953" s="1">
        <v>45973</v>
      </c>
      <c r="D953">
        <v>74184</v>
      </c>
      <c r="E953">
        <v>655</v>
      </c>
      <c r="F953">
        <v>0.37</v>
      </c>
      <c r="G953">
        <v>2</v>
      </c>
      <c r="H953" s="2" t="s">
        <v>41</v>
      </c>
      <c r="I953" s="2" t="s">
        <v>17</v>
      </c>
      <c r="J953">
        <v>9</v>
      </c>
      <c r="K953">
        <f>IF(AND(Banking_Credit_Risk_Dirty[[#This Row],[Borrower_Credit_Score]]&gt;=300,Banking_Credit_Risk_Dirty[[#This Row],[Borrower_Credit_Score]]&lt;=850),Banking_Credit_Risk_Dirty[[#This Row],[Borrower_Credit_Score]],"")</f>
        <v>655</v>
      </c>
    </row>
    <row r="954" spans="1:11" x14ac:dyDescent="0.25">
      <c r="A954" s="2" t="s">
        <v>976</v>
      </c>
      <c r="B954" s="2" t="s">
        <v>11</v>
      </c>
      <c r="C954" s="1">
        <v>45870</v>
      </c>
      <c r="D954">
        <v>68572</v>
      </c>
      <c r="E954">
        <v>691</v>
      </c>
      <c r="F954">
        <v>0.36</v>
      </c>
      <c r="G954">
        <v>5</v>
      </c>
      <c r="H954" s="2" t="s">
        <v>19</v>
      </c>
      <c r="I954" s="2" t="s">
        <v>23</v>
      </c>
      <c r="J954">
        <v>13</v>
      </c>
      <c r="K954">
        <f>IF(AND(Banking_Credit_Risk_Dirty[[#This Row],[Borrower_Credit_Score]]&gt;=300,Banking_Credit_Risk_Dirty[[#This Row],[Borrower_Credit_Score]]&lt;=850),Banking_Credit_Risk_Dirty[[#This Row],[Borrower_Credit_Score]],"")</f>
        <v>691</v>
      </c>
    </row>
    <row r="955" spans="1:11" x14ac:dyDescent="0.25">
      <c r="A955" s="2" t="s">
        <v>977</v>
      </c>
      <c r="B955" s="2" t="s">
        <v>43</v>
      </c>
      <c r="C955" s="1">
        <v>45329</v>
      </c>
      <c r="D955">
        <v>20784</v>
      </c>
      <c r="E955">
        <v>796</v>
      </c>
      <c r="F955">
        <v>0.41</v>
      </c>
      <c r="G955">
        <v>0</v>
      </c>
      <c r="H955" s="2" t="s">
        <v>27</v>
      </c>
      <c r="I955" s="2" t="s">
        <v>13</v>
      </c>
      <c r="J955">
        <v>31</v>
      </c>
      <c r="K955">
        <f>IF(AND(Banking_Credit_Risk_Dirty[[#This Row],[Borrower_Credit_Score]]&gt;=300,Banking_Credit_Risk_Dirty[[#This Row],[Borrower_Credit_Score]]&lt;=850),Banking_Credit_Risk_Dirty[[#This Row],[Borrower_Credit_Score]],"")</f>
        <v>796</v>
      </c>
    </row>
    <row r="956" spans="1:11" x14ac:dyDescent="0.25">
      <c r="A956" s="2" t="s">
        <v>978</v>
      </c>
      <c r="B956" s="2" t="s">
        <v>15</v>
      </c>
      <c r="C956" s="1">
        <v>45557</v>
      </c>
      <c r="D956">
        <v>122153</v>
      </c>
      <c r="E956">
        <v>629</v>
      </c>
      <c r="F956">
        <v>0.28000000000000003</v>
      </c>
      <c r="G956">
        <v>0</v>
      </c>
      <c r="H956" s="2" t="s">
        <v>16</v>
      </c>
      <c r="I956" s="2" t="s">
        <v>13</v>
      </c>
      <c r="J956">
        <v>23</v>
      </c>
      <c r="K956">
        <f>IF(AND(Banking_Credit_Risk_Dirty[[#This Row],[Borrower_Credit_Score]]&gt;=300,Banking_Credit_Risk_Dirty[[#This Row],[Borrower_Credit_Score]]&lt;=850),Banking_Credit_Risk_Dirty[[#This Row],[Borrower_Credit_Score]],"")</f>
        <v>629</v>
      </c>
    </row>
    <row r="957" spans="1:11" x14ac:dyDescent="0.25">
      <c r="A957" s="2" t="s">
        <v>979</v>
      </c>
      <c r="B957" s="2" t="s">
        <v>21</v>
      </c>
      <c r="C957" s="1">
        <v>45495</v>
      </c>
      <c r="D957">
        <v>144472</v>
      </c>
      <c r="E957">
        <v>591</v>
      </c>
      <c r="F957">
        <v>0.6</v>
      </c>
      <c r="G957">
        <v>0</v>
      </c>
      <c r="H957" s="2" t="s">
        <v>12</v>
      </c>
      <c r="I957" s="2" t="s">
        <v>13</v>
      </c>
      <c r="J957">
        <v>25</v>
      </c>
      <c r="K957">
        <f>IF(AND(Banking_Credit_Risk_Dirty[[#This Row],[Borrower_Credit_Score]]&gt;=300,Banking_Credit_Risk_Dirty[[#This Row],[Borrower_Credit_Score]]&lt;=850),Banking_Credit_Risk_Dirty[[#This Row],[Borrower_Credit_Score]],"")</f>
        <v>591</v>
      </c>
    </row>
    <row r="958" spans="1:11" x14ac:dyDescent="0.25">
      <c r="A958" s="2" t="s">
        <v>980</v>
      </c>
      <c r="B958" s="2" t="s">
        <v>43</v>
      </c>
      <c r="C958" s="1">
        <v>45532</v>
      </c>
      <c r="D958">
        <v>86520</v>
      </c>
      <c r="E958">
        <v>610</v>
      </c>
      <c r="F958">
        <v>0.3</v>
      </c>
      <c r="G958">
        <v>0</v>
      </c>
      <c r="H958" s="2" t="s">
        <v>41</v>
      </c>
      <c r="I958" s="2" t="s">
        <v>13</v>
      </c>
      <c r="J958">
        <v>24</v>
      </c>
      <c r="K958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959" spans="1:11" x14ac:dyDescent="0.25">
      <c r="A959" s="2" t="s">
        <v>981</v>
      </c>
      <c r="B959" s="2" t="s">
        <v>43</v>
      </c>
      <c r="C959" s="1">
        <v>45592</v>
      </c>
      <c r="D959">
        <v>89019</v>
      </c>
      <c r="E959">
        <v>738</v>
      </c>
      <c r="F959">
        <v>0.57999999999999996</v>
      </c>
      <c r="G959">
        <v>0</v>
      </c>
      <c r="H959" s="2" t="s">
        <v>27</v>
      </c>
      <c r="I959" s="2" t="s">
        <v>13</v>
      </c>
      <c r="J959">
        <v>22</v>
      </c>
      <c r="K959">
        <f>IF(AND(Banking_Credit_Risk_Dirty[[#This Row],[Borrower_Credit_Score]]&gt;=300,Banking_Credit_Risk_Dirty[[#This Row],[Borrower_Credit_Score]]&lt;=850),Banking_Credit_Risk_Dirty[[#This Row],[Borrower_Credit_Score]],"")</f>
        <v>738</v>
      </c>
    </row>
    <row r="960" spans="1:11" x14ac:dyDescent="0.25">
      <c r="A960" s="2" t="s">
        <v>982</v>
      </c>
      <c r="B960" s="2" t="s">
        <v>43</v>
      </c>
      <c r="C960" s="1">
        <v>45813</v>
      </c>
      <c r="D960">
        <v>144207</v>
      </c>
      <c r="E960">
        <v>745</v>
      </c>
      <c r="F960">
        <v>0.52</v>
      </c>
      <c r="G960">
        <v>0</v>
      </c>
      <c r="H960" s="2" t="s">
        <v>27</v>
      </c>
      <c r="I960" s="2" t="s">
        <v>13</v>
      </c>
      <c r="J960">
        <v>15</v>
      </c>
      <c r="K960">
        <f>IF(AND(Banking_Credit_Risk_Dirty[[#This Row],[Borrower_Credit_Score]]&gt;=300,Banking_Credit_Risk_Dirty[[#This Row],[Borrower_Credit_Score]]&lt;=850),Banking_Credit_Risk_Dirty[[#This Row],[Borrower_Credit_Score]],"")</f>
        <v>745</v>
      </c>
    </row>
    <row r="961" spans="1:11" x14ac:dyDescent="0.25">
      <c r="A961" s="2" t="s">
        <v>983</v>
      </c>
      <c r="B961" s="2" t="s">
        <v>15</v>
      </c>
      <c r="C961" s="1">
        <v>45407</v>
      </c>
      <c r="D961">
        <v>96669</v>
      </c>
      <c r="E961">
        <v>684</v>
      </c>
      <c r="F961">
        <v>0.19</v>
      </c>
      <c r="G961">
        <v>3</v>
      </c>
      <c r="H961" s="2" t="s">
        <v>41</v>
      </c>
      <c r="I961" s="2" t="s">
        <v>17</v>
      </c>
      <c r="J961">
        <v>28</v>
      </c>
      <c r="K961">
        <f>IF(AND(Banking_Credit_Risk_Dirty[[#This Row],[Borrower_Credit_Score]]&gt;=300,Banking_Credit_Risk_Dirty[[#This Row],[Borrower_Credit_Score]]&lt;=850),Banking_Credit_Risk_Dirty[[#This Row],[Borrower_Credit_Score]],"")</f>
        <v>684</v>
      </c>
    </row>
    <row r="962" spans="1:11" x14ac:dyDescent="0.25">
      <c r="A962" s="2" t="s">
        <v>984</v>
      </c>
      <c r="B962" s="2" t="s">
        <v>21</v>
      </c>
      <c r="C962" s="1">
        <v>45313</v>
      </c>
      <c r="D962">
        <v>127405</v>
      </c>
      <c r="E962">
        <v>810</v>
      </c>
      <c r="F962">
        <v>0.33</v>
      </c>
      <c r="G962">
        <v>6</v>
      </c>
      <c r="H962" s="2" t="s">
        <v>12</v>
      </c>
      <c r="I962" s="2" t="s">
        <v>17</v>
      </c>
      <c r="J962">
        <v>31</v>
      </c>
      <c r="K962">
        <f>IF(AND(Banking_Credit_Risk_Dirty[[#This Row],[Borrower_Credit_Score]]&gt;=300,Banking_Credit_Risk_Dirty[[#This Row],[Borrower_Credit_Score]]&lt;=850),Banking_Credit_Risk_Dirty[[#This Row],[Borrower_Credit_Score]],"")</f>
        <v>810</v>
      </c>
    </row>
    <row r="963" spans="1:11" x14ac:dyDescent="0.25">
      <c r="A963" s="2" t="s">
        <v>985</v>
      </c>
      <c r="B963" s="2" t="s">
        <v>15</v>
      </c>
      <c r="C963" s="1">
        <v>45808</v>
      </c>
      <c r="D963">
        <v>138275</v>
      </c>
      <c r="E963">
        <v>594</v>
      </c>
      <c r="F963">
        <v>0.28999999999999998</v>
      </c>
      <c r="G963">
        <v>3</v>
      </c>
      <c r="H963" s="2" t="s">
        <v>27</v>
      </c>
      <c r="I963" s="2" t="s">
        <v>23</v>
      </c>
      <c r="J963">
        <v>15</v>
      </c>
      <c r="K963">
        <f>IF(AND(Banking_Credit_Risk_Dirty[[#This Row],[Borrower_Credit_Score]]&gt;=300,Banking_Credit_Risk_Dirty[[#This Row],[Borrower_Credit_Score]]&lt;=850),Banking_Credit_Risk_Dirty[[#This Row],[Borrower_Credit_Score]],"")</f>
        <v>594</v>
      </c>
    </row>
    <row r="964" spans="1:11" x14ac:dyDescent="0.25">
      <c r="A964" s="2" t="s">
        <v>986</v>
      </c>
      <c r="B964" s="2" t="s">
        <v>43</v>
      </c>
      <c r="C964" s="1">
        <v>45433</v>
      </c>
      <c r="D964">
        <v>95843</v>
      </c>
      <c r="E964">
        <v>552</v>
      </c>
      <c r="F964">
        <v>0.21</v>
      </c>
      <c r="G964">
        <v>0</v>
      </c>
      <c r="H964" s="2" t="s">
        <v>19</v>
      </c>
      <c r="I964" s="2" t="s">
        <v>13</v>
      </c>
      <c r="J964">
        <v>27</v>
      </c>
      <c r="K964">
        <f>IF(AND(Banking_Credit_Risk_Dirty[[#This Row],[Borrower_Credit_Score]]&gt;=300,Banking_Credit_Risk_Dirty[[#This Row],[Borrower_Credit_Score]]&lt;=850),Banking_Credit_Risk_Dirty[[#This Row],[Borrower_Credit_Score]],"")</f>
        <v>552</v>
      </c>
    </row>
    <row r="965" spans="1:11" x14ac:dyDescent="0.25">
      <c r="A965" s="2" t="s">
        <v>987</v>
      </c>
      <c r="B965" s="2" t="s">
        <v>21</v>
      </c>
      <c r="C965" s="1">
        <v>45855</v>
      </c>
      <c r="D965">
        <v>127272</v>
      </c>
      <c r="E965">
        <v>764</v>
      </c>
      <c r="F965">
        <v>0.16</v>
      </c>
      <c r="G965">
        <v>5</v>
      </c>
      <c r="H965" s="2" t="s">
        <v>16</v>
      </c>
      <c r="I965" s="2" t="s">
        <v>17</v>
      </c>
      <c r="J965">
        <v>13</v>
      </c>
      <c r="K965">
        <f>IF(AND(Banking_Credit_Risk_Dirty[[#This Row],[Borrower_Credit_Score]]&gt;=300,Banking_Credit_Risk_Dirty[[#This Row],[Borrower_Credit_Score]]&lt;=850),Banking_Credit_Risk_Dirty[[#This Row],[Borrower_Credit_Score]],"")</f>
        <v>764</v>
      </c>
    </row>
    <row r="966" spans="1:11" x14ac:dyDescent="0.25">
      <c r="A966" s="2" t="s">
        <v>988</v>
      </c>
      <c r="B966" s="2" t="s">
        <v>21</v>
      </c>
      <c r="C966" s="1">
        <v>45449</v>
      </c>
      <c r="D966">
        <v>111456</v>
      </c>
      <c r="E966">
        <v>531</v>
      </c>
      <c r="F966">
        <v>0.26</v>
      </c>
      <c r="G966">
        <v>6</v>
      </c>
      <c r="H966" s="2" t="s">
        <v>22</v>
      </c>
      <c r="I966" s="2" t="s">
        <v>17</v>
      </c>
      <c r="J966">
        <v>27</v>
      </c>
      <c r="K966">
        <f>IF(AND(Banking_Credit_Risk_Dirty[[#This Row],[Borrower_Credit_Score]]&gt;=300,Banking_Credit_Risk_Dirty[[#This Row],[Borrower_Credit_Score]]&lt;=850),Banking_Credit_Risk_Dirty[[#This Row],[Borrower_Credit_Score]],"")</f>
        <v>531</v>
      </c>
    </row>
    <row r="967" spans="1:11" x14ac:dyDescent="0.25">
      <c r="A967" s="2" t="s">
        <v>989</v>
      </c>
      <c r="B967" s="2" t="s">
        <v>43</v>
      </c>
      <c r="C967" s="1">
        <v>45730</v>
      </c>
      <c r="D967">
        <v>19462</v>
      </c>
      <c r="E967">
        <v>712</v>
      </c>
      <c r="F967">
        <v>0.52</v>
      </c>
      <c r="G967">
        <v>0</v>
      </c>
      <c r="H967" s="2" t="s">
        <v>27</v>
      </c>
      <c r="I967" s="2" t="s">
        <v>13</v>
      </c>
      <c r="J967">
        <v>17</v>
      </c>
      <c r="K967">
        <f>IF(AND(Banking_Credit_Risk_Dirty[[#This Row],[Borrower_Credit_Score]]&gt;=300,Banking_Credit_Risk_Dirty[[#This Row],[Borrower_Credit_Score]]&lt;=850),Banking_Credit_Risk_Dirty[[#This Row],[Borrower_Credit_Score]],"")</f>
        <v>712</v>
      </c>
    </row>
    <row r="968" spans="1:11" x14ac:dyDescent="0.25">
      <c r="A968" s="2" t="s">
        <v>990</v>
      </c>
      <c r="B968" s="2" t="s">
        <v>43</v>
      </c>
      <c r="C968" s="1">
        <v>45538</v>
      </c>
      <c r="D968">
        <v>77292</v>
      </c>
      <c r="E968">
        <v>622</v>
      </c>
      <c r="F968">
        <v>0.57999999999999996</v>
      </c>
      <c r="G968">
        <v>3</v>
      </c>
      <c r="H968" s="2" t="s">
        <v>19</v>
      </c>
      <c r="I968" s="2" t="s">
        <v>23</v>
      </c>
      <c r="J968">
        <v>24</v>
      </c>
      <c r="K968">
        <f>IF(AND(Banking_Credit_Risk_Dirty[[#This Row],[Borrower_Credit_Score]]&gt;=300,Banking_Credit_Risk_Dirty[[#This Row],[Borrower_Credit_Score]]&lt;=850),Banking_Credit_Risk_Dirty[[#This Row],[Borrower_Credit_Score]],"")</f>
        <v>622</v>
      </c>
    </row>
    <row r="969" spans="1:11" x14ac:dyDescent="0.25">
      <c r="A969" s="2" t="s">
        <v>991</v>
      </c>
      <c r="B969" s="2" t="s">
        <v>11</v>
      </c>
      <c r="C969" s="1">
        <v>45991</v>
      </c>
      <c r="D969">
        <v>57424</v>
      </c>
      <c r="E969">
        <v>612</v>
      </c>
      <c r="F969">
        <v>0.41</v>
      </c>
      <c r="G969">
        <v>5</v>
      </c>
      <c r="H969" s="2" t="s">
        <v>19</v>
      </c>
      <c r="I969" s="2" t="s">
        <v>17</v>
      </c>
      <c r="J969">
        <v>9</v>
      </c>
      <c r="K969">
        <f>IF(AND(Banking_Credit_Risk_Dirty[[#This Row],[Borrower_Credit_Score]]&gt;=300,Banking_Credit_Risk_Dirty[[#This Row],[Borrower_Credit_Score]]&lt;=850),Banking_Credit_Risk_Dirty[[#This Row],[Borrower_Credit_Score]],"")</f>
        <v>612</v>
      </c>
    </row>
    <row r="970" spans="1:11" x14ac:dyDescent="0.25">
      <c r="A970" s="2" t="s">
        <v>992</v>
      </c>
      <c r="B970" s="2" t="s">
        <v>11</v>
      </c>
      <c r="C970" s="1">
        <v>45501</v>
      </c>
      <c r="D970">
        <v>119209</v>
      </c>
      <c r="E970">
        <v>780</v>
      </c>
      <c r="F970">
        <v>0.49</v>
      </c>
      <c r="G970">
        <v>0</v>
      </c>
      <c r="H970" s="2" t="s">
        <v>22</v>
      </c>
      <c r="I970" s="2" t="s">
        <v>13</v>
      </c>
      <c r="J970">
        <v>25</v>
      </c>
      <c r="K970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971" spans="1:11" x14ac:dyDescent="0.25">
      <c r="A971" s="2" t="s">
        <v>993</v>
      </c>
      <c r="B971" s="2" t="s">
        <v>21</v>
      </c>
      <c r="C971" s="1">
        <v>45808</v>
      </c>
      <c r="D971">
        <v>45306</v>
      </c>
      <c r="E971">
        <v>610</v>
      </c>
      <c r="F971">
        <v>0.2</v>
      </c>
      <c r="G971">
        <v>0</v>
      </c>
      <c r="H971" s="2" t="s">
        <v>22</v>
      </c>
      <c r="I971" s="2" t="s">
        <v>13</v>
      </c>
      <c r="J971">
        <v>15</v>
      </c>
      <c r="K971">
        <f>IF(AND(Banking_Credit_Risk_Dirty[[#This Row],[Borrower_Credit_Score]]&gt;=300,Banking_Credit_Risk_Dirty[[#This Row],[Borrower_Credit_Score]]&lt;=850),Banking_Credit_Risk_Dirty[[#This Row],[Borrower_Credit_Score]],"")</f>
        <v>610</v>
      </c>
    </row>
    <row r="972" spans="1:11" x14ac:dyDescent="0.25">
      <c r="A972" s="2" t="s">
        <v>994</v>
      </c>
      <c r="B972" s="2" t="s">
        <v>21</v>
      </c>
      <c r="C972" s="1">
        <v>45366</v>
      </c>
      <c r="D972">
        <v>58413</v>
      </c>
      <c r="E972">
        <v>828</v>
      </c>
      <c r="F972">
        <v>0.47</v>
      </c>
      <c r="G972">
        <v>1</v>
      </c>
      <c r="H972" s="2" t="s">
        <v>12</v>
      </c>
      <c r="I972" s="2" t="s">
        <v>17</v>
      </c>
      <c r="J972">
        <v>29</v>
      </c>
      <c r="K972">
        <f>IF(AND(Banking_Credit_Risk_Dirty[[#This Row],[Borrower_Credit_Score]]&gt;=300,Banking_Credit_Risk_Dirty[[#This Row],[Borrower_Credit_Score]]&lt;=850),Banking_Credit_Risk_Dirty[[#This Row],[Borrower_Credit_Score]],"")</f>
        <v>828</v>
      </c>
    </row>
    <row r="973" spans="1:11" x14ac:dyDescent="0.25">
      <c r="A973" s="2" t="s">
        <v>995</v>
      </c>
      <c r="B973" s="2" t="s">
        <v>21</v>
      </c>
      <c r="C973" s="1">
        <v>45343</v>
      </c>
      <c r="D973">
        <v>141140</v>
      </c>
      <c r="E973">
        <v>462</v>
      </c>
      <c r="F973">
        <v>0.3</v>
      </c>
      <c r="G973">
        <v>6</v>
      </c>
      <c r="H973" s="2" t="s">
        <v>16</v>
      </c>
      <c r="I973" s="2" t="s">
        <v>23</v>
      </c>
      <c r="J973">
        <v>30</v>
      </c>
      <c r="K973">
        <f>IF(AND(Banking_Credit_Risk_Dirty[[#This Row],[Borrower_Credit_Score]]&gt;=300,Banking_Credit_Risk_Dirty[[#This Row],[Borrower_Credit_Score]]&lt;=850),Banking_Credit_Risk_Dirty[[#This Row],[Borrower_Credit_Score]],"")</f>
        <v>462</v>
      </c>
    </row>
    <row r="974" spans="1:11" x14ac:dyDescent="0.25">
      <c r="A974" s="2" t="s">
        <v>996</v>
      </c>
      <c r="B974" s="2" t="s">
        <v>15</v>
      </c>
      <c r="C974" s="1">
        <v>45493</v>
      </c>
      <c r="D974">
        <v>118646</v>
      </c>
      <c r="E974">
        <v>812</v>
      </c>
      <c r="F974">
        <v>0.41</v>
      </c>
      <c r="G974">
        <v>6</v>
      </c>
      <c r="H974" s="2" t="s">
        <v>27</v>
      </c>
      <c r="I974" s="2" t="s">
        <v>17</v>
      </c>
      <c r="J974">
        <v>25</v>
      </c>
      <c r="K974">
        <f>IF(AND(Banking_Credit_Risk_Dirty[[#This Row],[Borrower_Credit_Score]]&gt;=300,Banking_Credit_Risk_Dirty[[#This Row],[Borrower_Credit_Score]]&lt;=850),Banking_Credit_Risk_Dirty[[#This Row],[Borrower_Credit_Score]],"")</f>
        <v>812</v>
      </c>
    </row>
    <row r="975" spans="1:11" x14ac:dyDescent="0.25">
      <c r="A975" s="2" t="s">
        <v>997</v>
      </c>
      <c r="B975" s="2" t="s">
        <v>21</v>
      </c>
      <c r="C975" s="1">
        <v>45397</v>
      </c>
      <c r="D975">
        <v>59084</v>
      </c>
      <c r="E975">
        <v>845</v>
      </c>
      <c r="F975">
        <v>0.64</v>
      </c>
      <c r="G975">
        <v>0</v>
      </c>
      <c r="H975" s="2" t="s">
        <v>19</v>
      </c>
      <c r="I975" s="2" t="s">
        <v>13</v>
      </c>
      <c r="J975">
        <v>28</v>
      </c>
      <c r="K975">
        <f>IF(AND(Banking_Credit_Risk_Dirty[[#This Row],[Borrower_Credit_Score]]&gt;=300,Banking_Credit_Risk_Dirty[[#This Row],[Borrower_Credit_Score]]&lt;=850),Banking_Credit_Risk_Dirty[[#This Row],[Borrower_Credit_Score]],"")</f>
        <v>845</v>
      </c>
    </row>
    <row r="976" spans="1:11" x14ac:dyDescent="0.25">
      <c r="A976" s="2" t="s">
        <v>998</v>
      </c>
      <c r="B976" s="2" t="s">
        <v>15</v>
      </c>
      <c r="C976" s="1">
        <v>45691</v>
      </c>
      <c r="D976">
        <v>126027</v>
      </c>
      <c r="E976">
        <v>468</v>
      </c>
      <c r="F976">
        <v>0.28000000000000003</v>
      </c>
      <c r="G976">
        <v>0</v>
      </c>
      <c r="H976" s="2" t="s">
        <v>22</v>
      </c>
      <c r="I976" s="2" t="s">
        <v>17</v>
      </c>
      <c r="J976">
        <v>19</v>
      </c>
      <c r="K976">
        <f>IF(AND(Banking_Credit_Risk_Dirty[[#This Row],[Borrower_Credit_Score]]&gt;=300,Banking_Credit_Risk_Dirty[[#This Row],[Borrower_Credit_Score]]&lt;=850),Banking_Credit_Risk_Dirty[[#This Row],[Borrower_Credit_Score]],"")</f>
        <v>468</v>
      </c>
    </row>
    <row r="977" spans="1:11" x14ac:dyDescent="0.25">
      <c r="A977" s="2" t="s">
        <v>999</v>
      </c>
      <c r="B977" s="2" t="s">
        <v>15</v>
      </c>
      <c r="C977" s="1">
        <v>45473</v>
      </c>
      <c r="D977">
        <v>145597</v>
      </c>
      <c r="E977">
        <v>829</v>
      </c>
      <c r="F977">
        <v>0.32</v>
      </c>
      <c r="G977">
        <v>0</v>
      </c>
      <c r="H977" s="2" t="s">
        <v>19</v>
      </c>
      <c r="I977" s="2" t="s">
        <v>13</v>
      </c>
      <c r="J977">
        <v>26</v>
      </c>
      <c r="K977">
        <f>IF(AND(Banking_Credit_Risk_Dirty[[#This Row],[Borrower_Credit_Score]]&gt;=300,Banking_Credit_Risk_Dirty[[#This Row],[Borrower_Credit_Score]]&lt;=850),Banking_Credit_Risk_Dirty[[#This Row],[Borrower_Credit_Score]],"")</f>
        <v>829</v>
      </c>
    </row>
    <row r="978" spans="1:11" x14ac:dyDescent="0.25">
      <c r="A978" s="2" t="s">
        <v>1000</v>
      </c>
      <c r="B978" s="2" t="s">
        <v>43</v>
      </c>
      <c r="C978" s="1">
        <v>45648</v>
      </c>
      <c r="D978">
        <v>108865</v>
      </c>
      <c r="E978">
        <v>450</v>
      </c>
      <c r="F978">
        <v>0.42</v>
      </c>
      <c r="G978">
        <v>6</v>
      </c>
      <c r="H978" s="2" t="s">
        <v>27</v>
      </c>
      <c r="I978" s="2" t="s">
        <v>17</v>
      </c>
      <c r="J978">
        <v>20</v>
      </c>
      <c r="K978">
        <f>IF(AND(Banking_Credit_Risk_Dirty[[#This Row],[Borrower_Credit_Score]]&gt;=300,Banking_Credit_Risk_Dirty[[#This Row],[Borrower_Credit_Score]]&lt;=850),Banking_Credit_Risk_Dirty[[#This Row],[Borrower_Credit_Score]],"")</f>
        <v>450</v>
      </c>
    </row>
    <row r="979" spans="1:11" x14ac:dyDescent="0.25">
      <c r="A979" s="2" t="s">
        <v>1001</v>
      </c>
      <c r="B979" s="2" t="s">
        <v>11</v>
      </c>
      <c r="C979" s="1">
        <v>45595</v>
      </c>
      <c r="D979">
        <v>27219</v>
      </c>
      <c r="E979">
        <v>473</v>
      </c>
      <c r="F979">
        <v>0.47</v>
      </c>
      <c r="G979">
        <v>1</v>
      </c>
      <c r="H979" s="2" t="s">
        <v>22</v>
      </c>
      <c r="I979" s="2" t="s">
        <v>23</v>
      </c>
      <c r="J979">
        <v>22</v>
      </c>
      <c r="K979">
        <f>IF(AND(Banking_Credit_Risk_Dirty[[#This Row],[Borrower_Credit_Score]]&gt;=300,Banking_Credit_Risk_Dirty[[#This Row],[Borrower_Credit_Score]]&lt;=850),Banking_Credit_Risk_Dirty[[#This Row],[Borrower_Credit_Score]],"")</f>
        <v>473</v>
      </c>
    </row>
    <row r="980" spans="1:11" x14ac:dyDescent="0.25">
      <c r="A980" s="2" t="s">
        <v>1002</v>
      </c>
      <c r="B980" s="2" t="s">
        <v>15</v>
      </c>
      <c r="C980" s="1">
        <v>45313</v>
      </c>
      <c r="D980">
        <v>95444</v>
      </c>
      <c r="E980">
        <v>0</v>
      </c>
      <c r="F980">
        <v>0.63</v>
      </c>
      <c r="G980">
        <v>6</v>
      </c>
      <c r="H980" s="2" t="s">
        <v>22</v>
      </c>
      <c r="I980" s="2" t="s">
        <v>89</v>
      </c>
      <c r="J980">
        <v>31</v>
      </c>
      <c r="K980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981" spans="1:11" x14ac:dyDescent="0.25">
      <c r="A981" s="2" t="s">
        <v>1003</v>
      </c>
      <c r="B981" s="2" t="s">
        <v>11</v>
      </c>
      <c r="C981" s="1">
        <v>45772</v>
      </c>
      <c r="D981">
        <v>135844</v>
      </c>
      <c r="E981">
        <v>459</v>
      </c>
      <c r="F981">
        <v>0.52</v>
      </c>
      <c r="G981">
        <v>0</v>
      </c>
      <c r="H981" s="2" t="s">
        <v>22</v>
      </c>
      <c r="I981" s="2" t="s">
        <v>23</v>
      </c>
      <c r="J981">
        <v>16</v>
      </c>
      <c r="K981">
        <f>IF(AND(Banking_Credit_Risk_Dirty[[#This Row],[Borrower_Credit_Score]]&gt;=300,Banking_Credit_Risk_Dirty[[#This Row],[Borrower_Credit_Score]]&lt;=850),Banking_Credit_Risk_Dirty[[#This Row],[Borrower_Credit_Score]],"")</f>
        <v>459</v>
      </c>
    </row>
    <row r="982" spans="1:11" x14ac:dyDescent="0.25">
      <c r="A982" s="2" t="s">
        <v>1004</v>
      </c>
      <c r="B982" s="2" t="s">
        <v>15</v>
      </c>
      <c r="C982" s="1">
        <v>45785</v>
      </c>
      <c r="D982">
        <v>72673</v>
      </c>
      <c r="E982">
        <v>808</v>
      </c>
      <c r="F982">
        <v>0.32</v>
      </c>
      <c r="G982">
        <v>0</v>
      </c>
      <c r="H982" s="2" t="s">
        <v>27</v>
      </c>
      <c r="I982" s="2" t="s">
        <v>13</v>
      </c>
      <c r="J982">
        <v>16</v>
      </c>
      <c r="K982">
        <f>IF(AND(Banking_Credit_Risk_Dirty[[#This Row],[Borrower_Credit_Score]]&gt;=300,Banking_Credit_Risk_Dirty[[#This Row],[Borrower_Credit_Score]]&lt;=850),Banking_Credit_Risk_Dirty[[#This Row],[Borrower_Credit_Score]],"")</f>
        <v>808</v>
      </c>
    </row>
    <row r="983" spans="1:11" x14ac:dyDescent="0.25">
      <c r="A983" s="2" t="s">
        <v>1005</v>
      </c>
      <c r="B983" s="2" t="s">
        <v>43</v>
      </c>
      <c r="C983" s="1">
        <v>45313</v>
      </c>
      <c r="D983">
        <v>125035</v>
      </c>
      <c r="E983">
        <v>510</v>
      </c>
      <c r="F983">
        <v>0.46</v>
      </c>
      <c r="G983">
        <v>4</v>
      </c>
      <c r="H983" s="2" t="s">
        <v>19</v>
      </c>
      <c r="I983" s="2" t="s">
        <v>89</v>
      </c>
      <c r="J983">
        <v>31</v>
      </c>
      <c r="K983">
        <f>IF(AND(Banking_Credit_Risk_Dirty[[#This Row],[Borrower_Credit_Score]]&gt;=300,Banking_Credit_Risk_Dirty[[#This Row],[Borrower_Credit_Score]]&lt;=850),Banking_Credit_Risk_Dirty[[#This Row],[Borrower_Credit_Score]],"")</f>
        <v>510</v>
      </c>
    </row>
    <row r="984" spans="1:11" x14ac:dyDescent="0.25">
      <c r="A984" s="2" t="s">
        <v>1006</v>
      </c>
      <c r="B984" s="2" t="s">
        <v>21</v>
      </c>
      <c r="C984" s="1">
        <v>45378</v>
      </c>
      <c r="D984">
        <v>74836</v>
      </c>
      <c r="E984">
        <v>728</v>
      </c>
      <c r="F984">
        <v>0.16</v>
      </c>
      <c r="G984">
        <v>2</v>
      </c>
      <c r="H984" s="2" t="s">
        <v>16</v>
      </c>
      <c r="I984" s="2" t="s">
        <v>17</v>
      </c>
      <c r="J984">
        <v>29</v>
      </c>
      <c r="K984">
        <f>IF(AND(Banking_Credit_Risk_Dirty[[#This Row],[Borrower_Credit_Score]]&gt;=300,Banking_Credit_Risk_Dirty[[#This Row],[Borrower_Credit_Score]]&lt;=850),Banking_Credit_Risk_Dirty[[#This Row],[Borrower_Credit_Score]],"")</f>
        <v>728</v>
      </c>
    </row>
    <row r="985" spans="1:11" x14ac:dyDescent="0.25">
      <c r="A985" s="2" t="s">
        <v>1007</v>
      </c>
      <c r="B985" s="2" t="s">
        <v>15</v>
      </c>
      <c r="C985" s="1">
        <v>45546</v>
      </c>
      <c r="D985">
        <v>106392</v>
      </c>
      <c r="E985">
        <v>479</v>
      </c>
      <c r="F985">
        <v>0.43</v>
      </c>
      <c r="G985">
        <v>2</v>
      </c>
      <c r="H985" s="2" t="s">
        <v>41</v>
      </c>
      <c r="I985" s="2" t="s">
        <v>17</v>
      </c>
      <c r="J985">
        <v>23</v>
      </c>
      <c r="K985">
        <f>IF(AND(Banking_Credit_Risk_Dirty[[#This Row],[Borrower_Credit_Score]]&gt;=300,Banking_Credit_Risk_Dirty[[#This Row],[Borrower_Credit_Score]]&lt;=850),Banking_Credit_Risk_Dirty[[#This Row],[Borrower_Credit_Score]],"")</f>
        <v>479</v>
      </c>
    </row>
    <row r="986" spans="1:11" x14ac:dyDescent="0.25">
      <c r="A986" s="2" t="s">
        <v>1008</v>
      </c>
      <c r="B986" s="2" t="s">
        <v>15</v>
      </c>
      <c r="C986" s="1">
        <v>45867</v>
      </c>
      <c r="D986">
        <v>60779</v>
      </c>
      <c r="E986">
        <v>9999</v>
      </c>
      <c r="F986">
        <v>0.43</v>
      </c>
      <c r="G986">
        <v>0</v>
      </c>
      <c r="H986" s="2" t="s">
        <v>41</v>
      </c>
      <c r="I986" s="2" t="s">
        <v>13</v>
      </c>
      <c r="J986">
        <v>13</v>
      </c>
      <c r="K986" t="str">
        <f>IF(AND(Banking_Credit_Risk_Dirty[[#This Row],[Borrower_Credit_Score]]&gt;=300,Banking_Credit_Risk_Dirty[[#This Row],[Borrower_Credit_Score]]&lt;=850),Banking_Credit_Risk_Dirty[[#This Row],[Borrower_Credit_Score]],"")</f>
        <v/>
      </c>
    </row>
    <row r="987" spans="1:11" x14ac:dyDescent="0.25">
      <c r="A987" s="2" t="s">
        <v>1009</v>
      </c>
      <c r="B987" s="2" t="s">
        <v>21</v>
      </c>
      <c r="C987" s="1">
        <v>45712</v>
      </c>
      <c r="D987">
        <v>124450</v>
      </c>
      <c r="E987">
        <v>465</v>
      </c>
      <c r="F987">
        <v>0.37</v>
      </c>
      <c r="G987">
        <v>0</v>
      </c>
      <c r="H987" s="2" t="s">
        <v>19</v>
      </c>
      <c r="I987" s="2" t="s">
        <v>13</v>
      </c>
      <c r="J987">
        <v>18</v>
      </c>
      <c r="K987">
        <f>IF(AND(Banking_Credit_Risk_Dirty[[#This Row],[Borrower_Credit_Score]]&gt;=300,Banking_Credit_Risk_Dirty[[#This Row],[Borrower_Credit_Score]]&lt;=850),Banking_Credit_Risk_Dirty[[#This Row],[Borrower_Credit_Score]],"")</f>
        <v>465</v>
      </c>
    </row>
    <row r="988" spans="1:11" x14ac:dyDescent="0.25">
      <c r="A988" s="2" t="s">
        <v>1010</v>
      </c>
      <c r="B988" s="2" t="s">
        <v>21</v>
      </c>
      <c r="C988" s="1">
        <v>45685</v>
      </c>
      <c r="D988">
        <v>107049</v>
      </c>
      <c r="E988">
        <v>670</v>
      </c>
      <c r="F988">
        <v>0.44</v>
      </c>
      <c r="G988">
        <v>1</v>
      </c>
      <c r="H988" s="2" t="s">
        <v>27</v>
      </c>
      <c r="I988" s="2" t="s">
        <v>23</v>
      </c>
      <c r="J988">
        <v>19</v>
      </c>
      <c r="K988">
        <f>IF(AND(Banking_Credit_Risk_Dirty[[#This Row],[Borrower_Credit_Score]]&gt;=300,Banking_Credit_Risk_Dirty[[#This Row],[Borrower_Credit_Score]]&lt;=850),Banking_Credit_Risk_Dirty[[#This Row],[Borrower_Credit_Score]],"")</f>
        <v>670</v>
      </c>
    </row>
    <row r="989" spans="1:11" x14ac:dyDescent="0.25">
      <c r="A989" s="2" t="s">
        <v>1011</v>
      </c>
      <c r="B989" s="2" t="s">
        <v>21</v>
      </c>
      <c r="C989" s="1">
        <v>45497</v>
      </c>
      <c r="D989">
        <v>75204</v>
      </c>
      <c r="E989">
        <v>479</v>
      </c>
      <c r="F989">
        <v>0.16</v>
      </c>
      <c r="G989">
        <v>1</v>
      </c>
      <c r="H989" s="2" t="s">
        <v>19</v>
      </c>
      <c r="I989" s="2" t="s">
        <v>23</v>
      </c>
      <c r="J989">
        <v>25</v>
      </c>
      <c r="K989">
        <f>IF(AND(Banking_Credit_Risk_Dirty[[#This Row],[Borrower_Credit_Score]]&gt;=300,Banking_Credit_Risk_Dirty[[#This Row],[Borrower_Credit_Score]]&lt;=850),Banking_Credit_Risk_Dirty[[#This Row],[Borrower_Credit_Score]],"")</f>
        <v>479</v>
      </c>
    </row>
    <row r="990" spans="1:11" x14ac:dyDescent="0.25">
      <c r="A990" s="2" t="s">
        <v>1012</v>
      </c>
      <c r="B990" s="2" t="s">
        <v>15</v>
      </c>
      <c r="C990" s="1">
        <v>45901</v>
      </c>
      <c r="D990">
        <v>87102</v>
      </c>
      <c r="E990">
        <v>542</v>
      </c>
      <c r="F990">
        <v>0.49</v>
      </c>
      <c r="G990">
        <v>1</v>
      </c>
      <c r="H990" s="2" t="s">
        <v>19</v>
      </c>
      <c r="I990" s="2" t="s">
        <v>89</v>
      </c>
      <c r="J990">
        <v>12</v>
      </c>
      <c r="K990">
        <f>IF(AND(Banking_Credit_Risk_Dirty[[#This Row],[Borrower_Credit_Score]]&gt;=300,Banking_Credit_Risk_Dirty[[#This Row],[Borrower_Credit_Score]]&lt;=850),Banking_Credit_Risk_Dirty[[#This Row],[Borrower_Credit_Score]],"")</f>
        <v>542</v>
      </c>
    </row>
    <row r="991" spans="1:11" x14ac:dyDescent="0.25">
      <c r="A991" s="2" t="s">
        <v>1013</v>
      </c>
      <c r="B991" s="2" t="s">
        <v>11</v>
      </c>
      <c r="C991" s="1">
        <v>45703</v>
      </c>
      <c r="D991">
        <v>7845</v>
      </c>
      <c r="E991">
        <v>551</v>
      </c>
      <c r="F991">
        <v>0.42</v>
      </c>
      <c r="G991">
        <v>0</v>
      </c>
      <c r="H991" s="2" t="s">
        <v>19</v>
      </c>
      <c r="I991" s="2" t="s">
        <v>13</v>
      </c>
      <c r="J991">
        <v>18</v>
      </c>
      <c r="K991">
        <f>IF(AND(Banking_Credit_Risk_Dirty[[#This Row],[Borrower_Credit_Score]]&gt;=300,Banking_Credit_Risk_Dirty[[#This Row],[Borrower_Credit_Score]]&lt;=850),Banking_Credit_Risk_Dirty[[#This Row],[Borrower_Credit_Score]],"")</f>
        <v>551</v>
      </c>
    </row>
    <row r="992" spans="1:11" x14ac:dyDescent="0.25">
      <c r="A992" s="2" t="s">
        <v>1014</v>
      </c>
      <c r="B992" s="2" t="s">
        <v>15</v>
      </c>
      <c r="C992" s="1">
        <v>45361</v>
      </c>
      <c r="D992">
        <v>53626</v>
      </c>
      <c r="E992">
        <v>780</v>
      </c>
      <c r="F992">
        <v>0.57999999999999996</v>
      </c>
      <c r="G992">
        <v>0</v>
      </c>
      <c r="H992" s="2" t="s">
        <v>12</v>
      </c>
      <c r="I992" s="2" t="s">
        <v>17</v>
      </c>
      <c r="J992">
        <v>29</v>
      </c>
      <c r="K992">
        <f>IF(AND(Banking_Credit_Risk_Dirty[[#This Row],[Borrower_Credit_Score]]&gt;=300,Banking_Credit_Risk_Dirty[[#This Row],[Borrower_Credit_Score]]&lt;=850),Banking_Credit_Risk_Dirty[[#This Row],[Borrower_Credit_Score]],"")</f>
        <v>780</v>
      </c>
    </row>
    <row r="993" spans="1:11" x14ac:dyDescent="0.25">
      <c r="A993" s="2" t="s">
        <v>1015</v>
      </c>
      <c r="B993" s="2" t="s">
        <v>21</v>
      </c>
      <c r="C993" s="1">
        <v>45952</v>
      </c>
      <c r="D993">
        <v>51881</v>
      </c>
      <c r="E993">
        <v>704</v>
      </c>
      <c r="F993">
        <v>0.22</v>
      </c>
      <c r="G993">
        <v>1</v>
      </c>
      <c r="H993" s="2" t="s">
        <v>12</v>
      </c>
      <c r="I993" s="2" t="s">
        <v>23</v>
      </c>
      <c r="J993">
        <v>10</v>
      </c>
      <c r="K993">
        <f>IF(AND(Banking_Credit_Risk_Dirty[[#This Row],[Borrower_Credit_Score]]&gt;=300,Banking_Credit_Risk_Dirty[[#This Row],[Borrower_Credit_Score]]&lt;=850),Banking_Credit_Risk_Dirty[[#This Row],[Borrower_Credit_Score]],"")</f>
        <v>704</v>
      </c>
    </row>
    <row r="994" spans="1:11" x14ac:dyDescent="0.25">
      <c r="A994" s="2" t="s">
        <v>1016</v>
      </c>
      <c r="B994" s="2" t="s">
        <v>21</v>
      </c>
      <c r="C994" s="1">
        <v>45984</v>
      </c>
      <c r="D994">
        <v>59653</v>
      </c>
      <c r="E994">
        <v>818</v>
      </c>
      <c r="F994">
        <v>0.19</v>
      </c>
      <c r="G994">
        <v>0</v>
      </c>
      <c r="H994" s="2" t="s">
        <v>19</v>
      </c>
      <c r="I994" s="2" t="s">
        <v>13</v>
      </c>
      <c r="J994">
        <v>9</v>
      </c>
      <c r="K994">
        <f>IF(AND(Banking_Credit_Risk_Dirty[[#This Row],[Borrower_Credit_Score]]&gt;=300,Banking_Credit_Risk_Dirty[[#This Row],[Borrower_Credit_Score]]&lt;=850),Banking_Credit_Risk_Dirty[[#This Row],[Borrower_Credit_Score]],"")</f>
        <v>818</v>
      </c>
    </row>
    <row r="995" spans="1:11" x14ac:dyDescent="0.25">
      <c r="A995" s="2" t="s">
        <v>1017</v>
      </c>
      <c r="B995" s="2" t="s">
        <v>11</v>
      </c>
      <c r="C995" s="1">
        <v>45523</v>
      </c>
      <c r="D995">
        <v>126299</v>
      </c>
      <c r="E995">
        <v>650</v>
      </c>
      <c r="F995">
        <v>0.44</v>
      </c>
      <c r="G995">
        <v>5</v>
      </c>
      <c r="H995" s="2" t="s">
        <v>27</v>
      </c>
      <c r="I995" s="2" t="s">
        <v>17</v>
      </c>
      <c r="J995">
        <v>24</v>
      </c>
      <c r="K995">
        <f>IF(AND(Banking_Credit_Risk_Dirty[[#This Row],[Borrower_Credit_Score]]&gt;=300,Banking_Credit_Risk_Dirty[[#This Row],[Borrower_Credit_Score]]&lt;=850),Banking_Credit_Risk_Dirty[[#This Row],[Borrower_Credit_Score]],"")</f>
        <v>650</v>
      </c>
    </row>
    <row r="996" spans="1:11" x14ac:dyDescent="0.25">
      <c r="A996" s="2" t="s">
        <v>1018</v>
      </c>
      <c r="B996" s="2" t="s">
        <v>11</v>
      </c>
      <c r="C996" s="1">
        <v>45613</v>
      </c>
      <c r="D996">
        <v>52955</v>
      </c>
      <c r="E996">
        <v>602</v>
      </c>
      <c r="F996">
        <v>0.38</v>
      </c>
      <c r="G996">
        <v>1</v>
      </c>
      <c r="H996" s="2" t="s">
        <v>27</v>
      </c>
      <c r="I996" s="2" t="s">
        <v>17</v>
      </c>
      <c r="J996">
        <v>21</v>
      </c>
      <c r="K996">
        <f>IF(AND(Banking_Credit_Risk_Dirty[[#This Row],[Borrower_Credit_Score]]&gt;=300,Banking_Credit_Risk_Dirty[[#This Row],[Borrower_Credit_Score]]&lt;=850),Banking_Credit_Risk_Dirty[[#This Row],[Borrower_Credit_Score]],"")</f>
        <v>602</v>
      </c>
    </row>
    <row r="997" spans="1:11" x14ac:dyDescent="0.25">
      <c r="A997" s="2" t="s">
        <v>1019</v>
      </c>
      <c r="B997" s="2" t="s">
        <v>21</v>
      </c>
      <c r="C997" s="1">
        <v>45624</v>
      </c>
      <c r="D997">
        <v>88553</v>
      </c>
      <c r="E997">
        <v>798</v>
      </c>
      <c r="F997">
        <v>0.36</v>
      </c>
      <c r="G997">
        <v>6</v>
      </c>
      <c r="H997" s="2" t="s">
        <v>16</v>
      </c>
      <c r="I997" s="2" t="s">
        <v>17</v>
      </c>
      <c r="J997">
        <v>21</v>
      </c>
      <c r="K997">
        <f>IF(AND(Banking_Credit_Risk_Dirty[[#This Row],[Borrower_Credit_Score]]&gt;=300,Banking_Credit_Risk_Dirty[[#This Row],[Borrower_Credit_Score]]&lt;=850),Banking_Credit_Risk_Dirty[[#This Row],[Borrower_Credit_Score]],"")</f>
        <v>798</v>
      </c>
    </row>
    <row r="998" spans="1:11" x14ac:dyDescent="0.25">
      <c r="A998" s="2" t="s">
        <v>1020</v>
      </c>
      <c r="B998" s="2" t="s">
        <v>43</v>
      </c>
      <c r="C998" s="1">
        <v>45321</v>
      </c>
      <c r="D998">
        <v>131513</v>
      </c>
      <c r="E998">
        <v>688</v>
      </c>
      <c r="F998">
        <v>0.24</v>
      </c>
      <c r="G998">
        <v>5</v>
      </c>
      <c r="H998" s="2" t="s">
        <v>27</v>
      </c>
      <c r="I998" s="2" t="s">
        <v>17</v>
      </c>
      <c r="J998">
        <v>31</v>
      </c>
      <c r="K998">
        <f>IF(AND(Banking_Credit_Risk_Dirty[[#This Row],[Borrower_Credit_Score]]&gt;=300,Banking_Credit_Risk_Dirty[[#This Row],[Borrower_Credit_Score]]&lt;=850),Banking_Credit_Risk_Dirty[[#This Row],[Borrower_Credit_Score]],"")</f>
        <v>688</v>
      </c>
    </row>
    <row r="999" spans="1:11" x14ac:dyDescent="0.25">
      <c r="A999" s="2" t="s">
        <v>1021</v>
      </c>
      <c r="B999" s="2" t="s">
        <v>15</v>
      </c>
      <c r="C999" s="1">
        <v>45349</v>
      </c>
      <c r="D999">
        <v>100147</v>
      </c>
      <c r="E999">
        <v>844</v>
      </c>
      <c r="F999">
        <v>0.62</v>
      </c>
      <c r="G999">
        <v>0</v>
      </c>
      <c r="H999" s="2" t="s">
        <v>27</v>
      </c>
      <c r="I999" s="2" t="s">
        <v>13</v>
      </c>
      <c r="J999">
        <v>30</v>
      </c>
      <c r="K999">
        <f>IF(AND(Banking_Credit_Risk_Dirty[[#This Row],[Borrower_Credit_Score]]&gt;=300,Banking_Credit_Risk_Dirty[[#This Row],[Borrower_Credit_Score]]&lt;=850),Banking_Credit_Risk_Dirty[[#This Row],[Borrower_Credit_Score]],"")</f>
        <v>844</v>
      </c>
    </row>
    <row r="1000" spans="1:11" x14ac:dyDescent="0.25">
      <c r="A1000" s="2" t="s">
        <v>1022</v>
      </c>
      <c r="B1000" s="2" t="s">
        <v>43</v>
      </c>
      <c r="C1000" s="1">
        <v>45328</v>
      </c>
      <c r="D1000">
        <v>78210</v>
      </c>
      <c r="E1000">
        <v>479</v>
      </c>
      <c r="F1000">
        <v>0.6</v>
      </c>
      <c r="G1000">
        <v>5</v>
      </c>
      <c r="H1000" s="2" t="s">
        <v>22</v>
      </c>
      <c r="I1000" s="2" t="s">
        <v>89</v>
      </c>
      <c r="J1000">
        <v>31</v>
      </c>
      <c r="K1000">
        <f>IF(AND(Banking_Credit_Risk_Dirty[[#This Row],[Borrower_Credit_Score]]&gt;=300,Banking_Credit_Risk_Dirty[[#This Row],[Borrower_Credit_Score]]&lt;=850),Banking_Credit_Risk_Dirty[[#This Row],[Borrower_Credit_Score]],"")</f>
        <v>479</v>
      </c>
    </row>
    <row r="1001" spans="1:11" x14ac:dyDescent="0.25">
      <c r="A1001" s="2" t="s">
        <v>1023</v>
      </c>
      <c r="B1001" s="2" t="s">
        <v>21</v>
      </c>
      <c r="C1001" s="1">
        <v>45987</v>
      </c>
      <c r="D1001">
        <v>101694</v>
      </c>
      <c r="E1001">
        <v>624</v>
      </c>
      <c r="F1001">
        <v>0.31</v>
      </c>
      <c r="G1001">
        <v>0</v>
      </c>
      <c r="H1001" s="2" t="s">
        <v>22</v>
      </c>
      <c r="I1001" s="2" t="s">
        <v>13</v>
      </c>
      <c r="J1001">
        <v>9</v>
      </c>
      <c r="K1001">
        <f>IF(AND(Banking_Credit_Risk_Dirty[[#This Row],[Borrower_Credit_Score]]&gt;=300,Banking_Credit_Risk_Dirty[[#This Row],[Borrower_Credit_Score]]&lt;=850),Banking_Credit_Risk_Dirty[[#This Row],[Borrower_Credit_Score]],"")</f>
        <v>624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5568-775D-4B6F-867A-FCACC1ABC312}">
  <dimension ref="A1:J1001"/>
  <sheetViews>
    <sheetView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18.140625" bestFit="1" customWidth="1"/>
    <col min="3" max="3" width="16" bestFit="1" customWidth="1"/>
    <col min="4" max="4" width="23.140625" bestFit="1" customWidth="1"/>
    <col min="5" max="5" width="21" bestFit="1" customWidth="1"/>
    <col min="6" max="6" width="20.7109375" bestFit="1" customWidth="1"/>
    <col min="7" max="7" width="23.140625" bestFit="1" customWidth="1"/>
    <col min="8" max="8" width="20.140625" bestFit="1" customWidth="1"/>
    <col min="9" max="9" width="14.5703125" bestFit="1" customWidth="1"/>
    <col min="10" max="10" width="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45632</v>
      </c>
      <c r="D2">
        <v>135853</v>
      </c>
      <c r="E2">
        <v>719</v>
      </c>
      <c r="F2">
        <v>0.46</v>
      </c>
      <c r="G2">
        <v>0</v>
      </c>
      <c r="H2" t="s">
        <v>12</v>
      </c>
      <c r="I2" t="s">
        <v>13</v>
      </c>
      <c r="J2">
        <v>21</v>
      </c>
    </row>
    <row r="3" spans="1:10" x14ac:dyDescent="0.25">
      <c r="A3" t="s">
        <v>14</v>
      </c>
      <c r="B3" t="s">
        <v>15</v>
      </c>
      <c r="C3" s="1">
        <v>45430</v>
      </c>
      <c r="D3">
        <v>37494</v>
      </c>
      <c r="E3">
        <v>802</v>
      </c>
      <c r="F3">
        <v>0.63</v>
      </c>
      <c r="G3">
        <v>1</v>
      </c>
      <c r="H3" t="s">
        <v>16</v>
      </c>
      <c r="I3" t="s">
        <v>17</v>
      </c>
      <c r="J3">
        <v>27</v>
      </c>
    </row>
    <row r="4" spans="1:10" x14ac:dyDescent="0.25">
      <c r="A4" t="s">
        <v>18</v>
      </c>
      <c r="B4" t="s">
        <v>11</v>
      </c>
      <c r="C4" s="1">
        <v>45977</v>
      </c>
      <c r="D4">
        <v>68204</v>
      </c>
      <c r="E4">
        <v>511</v>
      </c>
      <c r="F4">
        <v>0.3</v>
      </c>
      <c r="G4">
        <v>0</v>
      </c>
      <c r="H4" t="s">
        <v>19</v>
      </c>
      <c r="I4" t="s">
        <v>13</v>
      </c>
      <c r="J4">
        <v>9</v>
      </c>
    </row>
    <row r="5" spans="1:10" x14ac:dyDescent="0.25">
      <c r="A5" t="s">
        <v>20</v>
      </c>
      <c r="B5" t="s">
        <v>21</v>
      </c>
      <c r="C5" s="1">
        <v>45545</v>
      </c>
      <c r="D5">
        <v>69263</v>
      </c>
      <c r="E5">
        <v>540</v>
      </c>
      <c r="F5">
        <v>0.25</v>
      </c>
      <c r="G5">
        <v>1</v>
      </c>
      <c r="H5" t="s">
        <v>22</v>
      </c>
      <c r="I5" t="s">
        <v>23</v>
      </c>
      <c r="J5">
        <v>23</v>
      </c>
    </row>
    <row r="6" spans="1:10" x14ac:dyDescent="0.25">
      <c r="A6" t="s">
        <v>24</v>
      </c>
      <c r="B6" t="s">
        <v>11</v>
      </c>
      <c r="C6" s="1">
        <v>45801</v>
      </c>
      <c r="D6">
        <v>107276</v>
      </c>
      <c r="E6">
        <v>691</v>
      </c>
      <c r="F6">
        <v>0.41</v>
      </c>
      <c r="G6">
        <v>0</v>
      </c>
      <c r="H6" t="s">
        <v>19</v>
      </c>
      <c r="I6" t="s">
        <v>13</v>
      </c>
      <c r="J6">
        <v>15</v>
      </c>
    </row>
    <row r="7" spans="1:10" x14ac:dyDescent="0.25">
      <c r="A7" t="s">
        <v>25</v>
      </c>
      <c r="B7" t="s">
        <v>11</v>
      </c>
      <c r="C7" s="1">
        <v>45433</v>
      </c>
      <c r="D7">
        <v>23306</v>
      </c>
      <c r="E7">
        <v>817</v>
      </c>
      <c r="F7">
        <v>0.59</v>
      </c>
      <c r="G7">
        <v>0</v>
      </c>
      <c r="H7" t="s">
        <v>19</v>
      </c>
      <c r="I7" t="s">
        <v>13</v>
      </c>
      <c r="J7">
        <v>27</v>
      </c>
    </row>
    <row r="8" spans="1:10" x14ac:dyDescent="0.25">
      <c r="A8" t="s">
        <v>26</v>
      </c>
      <c r="B8" t="s">
        <v>21</v>
      </c>
      <c r="C8" s="1">
        <v>45686</v>
      </c>
      <c r="D8">
        <v>46442</v>
      </c>
      <c r="E8">
        <v>672</v>
      </c>
      <c r="F8">
        <v>0.5</v>
      </c>
      <c r="G8">
        <v>0</v>
      </c>
      <c r="H8" t="s">
        <v>27</v>
      </c>
      <c r="I8" t="s">
        <v>17</v>
      </c>
      <c r="J8">
        <v>19</v>
      </c>
    </row>
    <row r="9" spans="1:10" x14ac:dyDescent="0.25">
      <c r="A9" t="s">
        <v>28</v>
      </c>
      <c r="B9" t="s">
        <v>15</v>
      </c>
      <c r="C9" s="1">
        <v>45876</v>
      </c>
      <c r="D9">
        <v>52472</v>
      </c>
      <c r="E9">
        <v>649</v>
      </c>
      <c r="F9">
        <v>0.46</v>
      </c>
      <c r="G9">
        <v>2</v>
      </c>
      <c r="H9" t="s">
        <v>19</v>
      </c>
      <c r="I9" t="s">
        <v>17</v>
      </c>
      <c r="J9">
        <v>13</v>
      </c>
    </row>
    <row r="10" spans="1:10" x14ac:dyDescent="0.25">
      <c r="A10" t="s">
        <v>29</v>
      </c>
      <c r="B10" t="s">
        <v>21</v>
      </c>
      <c r="C10" s="1">
        <v>45714</v>
      </c>
      <c r="D10">
        <v>73972</v>
      </c>
      <c r="E10">
        <v>672</v>
      </c>
      <c r="F10">
        <v>0.46</v>
      </c>
      <c r="G10">
        <v>0</v>
      </c>
      <c r="H10" t="s">
        <v>19</v>
      </c>
      <c r="I10" t="s">
        <v>13</v>
      </c>
      <c r="J10">
        <v>18</v>
      </c>
    </row>
    <row r="11" spans="1:10" x14ac:dyDescent="0.25">
      <c r="A11" t="s">
        <v>30</v>
      </c>
      <c r="B11" t="s">
        <v>21</v>
      </c>
      <c r="C11" s="1">
        <v>45621</v>
      </c>
      <c r="D11">
        <v>147382</v>
      </c>
      <c r="E11">
        <v>806</v>
      </c>
      <c r="F11">
        <v>0.41</v>
      </c>
      <c r="G11">
        <v>0</v>
      </c>
      <c r="H11" t="s">
        <v>19</v>
      </c>
      <c r="I11" t="s">
        <v>13</v>
      </c>
      <c r="J11">
        <v>21</v>
      </c>
    </row>
    <row r="12" spans="1:10" x14ac:dyDescent="0.25">
      <c r="A12" t="s">
        <v>31</v>
      </c>
      <c r="B12" t="s">
        <v>21</v>
      </c>
      <c r="C12" s="1">
        <v>45609</v>
      </c>
      <c r="D12">
        <v>25467</v>
      </c>
      <c r="E12">
        <v>552</v>
      </c>
      <c r="F12">
        <v>0.33</v>
      </c>
      <c r="G12">
        <v>0</v>
      </c>
      <c r="H12" t="s">
        <v>19</v>
      </c>
      <c r="I12" t="s">
        <v>13</v>
      </c>
      <c r="J12">
        <v>21</v>
      </c>
    </row>
    <row r="13" spans="1:10" x14ac:dyDescent="0.25">
      <c r="A13" t="s">
        <v>32</v>
      </c>
      <c r="B13" t="s">
        <v>15</v>
      </c>
      <c r="C13" s="1">
        <v>45738</v>
      </c>
      <c r="D13">
        <v>149313</v>
      </c>
      <c r="E13">
        <v>777</v>
      </c>
      <c r="F13">
        <v>0.6</v>
      </c>
      <c r="G13">
        <v>5</v>
      </c>
      <c r="H13" t="s">
        <v>19</v>
      </c>
      <c r="I13" t="s">
        <v>23</v>
      </c>
      <c r="J13">
        <v>17</v>
      </c>
    </row>
    <row r="14" spans="1:10" x14ac:dyDescent="0.25">
      <c r="A14" t="s">
        <v>33</v>
      </c>
      <c r="B14" t="s">
        <v>15</v>
      </c>
      <c r="C14" s="1">
        <v>45786</v>
      </c>
      <c r="D14">
        <v>48549</v>
      </c>
      <c r="E14">
        <v>594</v>
      </c>
      <c r="F14">
        <v>0.46</v>
      </c>
      <c r="G14">
        <v>0</v>
      </c>
      <c r="H14" t="s">
        <v>22</v>
      </c>
      <c r="I14" t="s">
        <v>13</v>
      </c>
      <c r="J14">
        <v>16</v>
      </c>
    </row>
    <row r="15" spans="1:10" x14ac:dyDescent="0.25">
      <c r="A15" t="s">
        <v>34</v>
      </c>
      <c r="B15" t="s">
        <v>21</v>
      </c>
      <c r="C15" s="1">
        <v>45486</v>
      </c>
      <c r="D15">
        <v>43898</v>
      </c>
      <c r="E15">
        <v>616</v>
      </c>
      <c r="F15">
        <v>0.15</v>
      </c>
      <c r="G15">
        <v>5</v>
      </c>
      <c r="H15" t="s">
        <v>16</v>
      </c>
      <c r="I15" t="s">
        <v>17</v>
      </c>
      <c r="J15">
        <v>25</v>
      </c>
    </row>
    <row r="16" spans="1:10" x14ac:dyDescent="0.25">
      <c r="A16" t="s">
        <v>35</v>
      </c>
      <c r="B16" t="s">
        <v>21</v>
      </c>
      <c r="C16" s="1">
        <v>45778</v>
      </c>
      <c r="D16">
        <v>81716</v>
      </c>
      <c r="E16">
        <v>803</v>
      </c>
      <c r="F16">
        <v>0.35</v>
      </c>
      <c r="G16">
        <v>0</v>
      </c>
      <c r="H16" t="s">
        <v>22</v>
      </c>
      <c r="I16" t="s">
        <v>13</v>
      </c>
      <c r="J16">
        <v>16</v>
      </c>
    </row>
    <row r="17" spans="1:10" x14ac:dyDescent="0.25">
      <c r="A17" t="s">
        <v>36</v>
      </c>
      <c r="B17" t="s">
        <v>15</v>
      </c>
      <c r="C17" s="1">
        <v>45599</v>
      </c>
      <c r="D17">
        <v>138322</v>
      </c>
      <c r="E17">
        <v>610</v>
      </c>
      <c r="F17">
        <v>0.33</v>
      </c>
      <c r="G17">
        <v>0</v>
      </c>
      <c r="H17" t="s">
        <v>19</v>
      </c>
      <c r="I17" t="s">
        <v>13</v>
      </c>
      <c r="J17">
        <v>22</v>
      </c>
    </row>
    <row r="18" spans="1:10" x14ac:dyDescent="0.25">
      <c r="A18" t="s">
        <v>37</v>
      </c>
      <c r="B18" t="s">
        <v>15</v>
      </c>
      <c r="C18" s="1">
        <v>45693</v>
      </c>
      <c r="D18">
        <v>104805</v>
      </c>
      <c r="E18">
        <v>729</v>
      </c>
      <c r="F18">
        <v>0.35</v>
      </c>
      <c r="G18">
        <v>0</v>
      </c>
      <c r="H18" t="s">
        <v>16</v>
      </c>
      <c r="I18" t="s">
        <v>13</v>
      </c>
      <c r="J18">
        <v>19</v>
      </c>
    </row>
    <row r="19" spans="1:10" x14ac:dyDescent="0.25">
      <c r="A19" t="s">
        <v>38</v>
      </c>
      <c r="B19" t="s">
        <v>15</v>
      </c>
      <c r="C19" s="1">
        <v>45673</v>
      </c>
      <c r="D19">
        <v>127820</v>
      </c>
      <c r="E19">
        <v>703</v>
      </c>
      <c r="F19">
        <v>0.5</v>
      </c>
      <c r="G19">
        <v>4</v>
      </c>
      <c r="H19" t="s">
        <v>12</v>
      </c>
      <c r="I19" t="s">
        <v>23</v>
      </c>
      <c r="J19">
        <v>19</v>
      </c>
    </row>
    <row r="20" spans="1:10" x14ac:dyDescent="0.25">
      <c r="A20" t="s">
        <v>39</v>
      </c>
      <c r="B20" t="s">
        <v>11</v>
      </c>
      <c r="C20" s="1">
        <v>45309</v>
      </c>
      <c r="D20">
        <v>124886</v>
      </c>
      <c r="E20">
        <v>544</v>
      </c>
      <c r="F20">
        <v>0.21</v>
      </c>
      <c r="G20">
        <v>6</v>
      </c>
      <c r="H20" t="s">
        <v>12</v>
      </c>
      <c r="I20" t="s">
        <v>17</v>
      </c>
      <c r="J20">
        <v>31</v>
      </c>
    </row>
    <row r="21" spans="1:10" x14ac:dyDescent="0.25">
      <c r="A21" t="s">
        <v>40</v>
      </c>
      <c r="B21" t="s">
        <v>11</v>
      </c>
      <c r="C21" s="1">
        <v>45503</v>
      </c>
      <c r="D21">
        <v>137705</v>
      </c>
      <c r="E21">
        <v>517</v>
      </c>
      <c r="F21">
        <v>0.31</v>
      </c>
      <c r="G21">
        <v>0</v>
      </c>
      <c r="H21" t="s">
        <v>41</v>
      </c>
      <c r="I21" t="s">
        <v>13</v>
      </c>
      <c r="J21">
        <v>25</v>
      </c>
    </row>
    <row r="22" spans="1:10" x14ac:dyDescent="0.25">
      <c r="A22" t="s">
        <v>42</v>
      </c>
      <c r="B22" t="s">
        <v>43</v>
      </c>
      <c r="C22" s="1">
        <v>45459</v>
      </c>
      <c r="D22">
        <v>111008</v>
      </c>
      <c r="E22">
        <v>718</v>
      </c>
      <c r="F22">
        <v>0.49</v>
      </c>
      <c r="G22">
        <v>0</v>
      </c>
      <c r="H22" t="s">
        <v>41</v>
      </c>
      <c r="I22" t="s">
        <v>13</v>
      </c>
      <c r="J22">
        <v>26</v>
      </c>
    </row>
    <row r="23" spans="1:10" x14ac:dyDescent="0.25">
      <c r="A23" t="s">
        <v>44</v>
      </c>
      <c r="B23" t="s">
        <v>21</v>
      </c>
      <c r="C23" s="1">
        <v>45637</v>
      </c>
      <c r="D23">
        <v>87208</v>
      </c>
      <c r="E23">
        <v>659</v>
      </c>
      <c r="F23">
        <v>0.46</v>
      </c>
      <c r="G23">
        <v>0</v>
      </c>
      <c r="H23" t="s">
        <v>12</v>
      </c>
      <c r="I23" t="s">
        <v>13</v>
      </c>
      <c r="J23">
        <v>20</v>
      </c>
    </row>
    <row r="24" spans="1:10" x14ac:dyDescent="0.25">
      <c r="A24" t="s">
        <v>45</v>
      </c>
      <c r="B24" t="s">
        <v>11</v>
      </c>
      <c r="C24" s="1">
        <v>45720</v>
      </c>
      <c r="D24">
        <v>140412</v>
      </c>
      <c r="E24">
        <v>577</v>
      </c>
      <c r="F24">
        <v>0.31</v>
      </c>
      <c r="G24">
        <v>0</v>
      </c>
      <c r="H24" t="s">
        <v>12</v>
      </c>
      <c r="I24" t="s">
        <v>17</v>
      </c>
      <c r="J24">
        <v>18</v>
      </c>
    </row>
    <row r="25" spans="1:10" x14ac:dyDescent="0.25">
      <c r="A25" t="s">
        <v>46</v>
      </c>
      <c r="B25" t="s">
        <v>21</v>
      </c>
      <c r="C25" s="1">
        <v>45442</v>
      </c>
      <c r="D25">
        <v>50791</v>
      </c>
      <c r="E25">
        <v>613</v>
      </c>
      <c r="F25">
        <v>0.25</v>
      </c>
      <c r="G25">
        <v>5</v>
      </c>
      <c r="H25" t="s">
        <v>27</v>
      </c>
      <c r="I25" t="s">
        <v>17</v>
      </c>
      <c r="J25">
        <v>27</v>
      </c>
    </row>
    <row r="26" spans="1:10" x14ac:dyDescent="0.25">
      <c r="A26" t="s">
        <v>47</v>
      </c>
      <c r="B26" t="s">
        <v>11</v>
      </c>
      <c r="C26" s="1">
        <v>45519</v>
      </c>
      <c r="D26">
        <v>22384</v>
      </c>
      <c r="E26">
        <v>806</v>
      </c>
      <c r="F26">
        <v>0.3</v>
      </c>
      <c r="G26">
        <v>0</v>
      </c>
      <c r="H26" t="s">
        <v>27</v>
      </c>
      <c r="I26" t="s">
        <v>13</v>
      </c>
      <c r="J26">
        <v>24</v>
      </c>
    </row>
    <row r="27" spans="1:10" x14ac:dyDescent="0.25">
      <c r="A27" t="s">
        <v>48</v>
      </c>
      <c r="B27" t="s">
        <v>11</v>
      </c>
      <c r="C27" s="1">
        <v>45580</v>
      </c>
      <c r="D27">
        <v>131235</v>
      </c>
      <c r="E27">
        <v>503</v>
      </c>
      <c r="F27">
        <v>0.65</v>
      </c>
      <c r="G27">
        <v>0</v>
      </c>
      <c r="H27" t="s">
        <v>41</v>
      </c>
      <c r="I27" t="s">
        <v>13</v>
      </c>
      <c r="J27">
        <v>22</v>
      </c>
    </row>
    <row r="28" spans="1:10" x14ac:dyDescent="0.25">
      <c r="A28" t="s">
        <v>49</v>
      </c>
      <c r="B28" t="s">
        <v>21</v>
      </c>
      <c r="C28" s="1">
        <v>45907</v>
      </c>
      <c r="D28">
        <v>50739</v>
      </c>
      <c r="E28">
        <v>640</v>
      </c>
      <c r="F28">
        <v>0.3</v>
      </c>
      <c r="G28">
        <v>4</v>
      </c>
      <c r="H28" t="s">
        <v>12</v>
      </c>
      <c r="I28" t="s">
        <v>23</v>
      </c>
      <c r="J28">
        <v>12</v>
      </c>
    </row>
    <row r="29" spans="1:10" x14ac:dyDescent="0.25">
      <c r="A29" t="s">
        <v>50</v>
      </c>
      <c r="B29" t="s">
        <v>43</v>
      </c>
      <c r="C29" s="1">
        <v>45313</v>
      </c>
      <c r="D29">
        <v>60626</v>
      </c>
      <c r="E29">
        <v>509</v>
      </c>
      <c r="F29">
        <v>0.54</v>
      </c>
      <c r="G29">
        <v>0</v>
      </c>
      <c r="H29" t="s">
        <v>12</v>
      </c>
      <c r="I29" t="s">
        <v>13</v>
      </c>
      <c r="J29">
        <v>31</v>
      </c>
    </row>
    <row r="30" spans="1:10" x14ac:dyDescent="0.25">
      <c r="A30" t="s">
        <v>51</v>
      </c>
      <c r="B30" t="s">
        <v>21</v>
      </c>
      <c r="C30" s="1">
        <v>45973</v>
      </c>
      <c r="D30">
        <v>47662</v>
      </c>
      <c r="E30">
        <v>9999</v>
      </c>
      <c r="F30">
        <v>0.42</v>
      </c>
      <c r="G30">
        <v>0</v>
      </c>
      <c r="H30" t="s">
        <v>41</v>
      </c>
      <c r="I30" t="s">
        <v>13</v>
      </c>
      <c r="J30">
        <v>9</v>
      </c>
    </row>
    <row r="31" spans="1:10" x14ac:dyDescent="0.25">
      <c r="A31" t="s">
        <v>52</v>
      </c>
      <c r="B31" t="s">
        <v>21</v>
      </c>
      <c r="C31" s="1">
        <v>45640</v>
      </c>
      <c r="D31">
        <v>48470</v>
      </c>
      <c r="E31">
        <v>729</v>
      </c>
      <c r="F31">
        <v>0.45</v>
      </c>
      <c r="G31">
        <v>0</v>
      </c>
      <c r="H31" t="s">
        <v>19</v>
      </c>
      <c r="I31" t="s">
        <v>13</v>
      </c>
      <c r="J31">
        <v>20</v>
      </c>
    </row>
    <row r="32" spans="1:10" x14ac:dyDescent="0.25">
      <c r="A32" t="s">
        <v>53</v>
      </c>
      <c r="B32" t="s">
        <v>21</v>
      </c>
      <c r="C32" s="1">
        <v>45670</v>
      </c>
      <c r="D32">
        <v>68711</v>
      </c>
      <c r="E32">
        <v>774</v>
      </c>
      <c r="F32">
        <v>0.44</v>
      </c>
      <c r="G32">
        <v>0</v>
      </c>
      <c r="H32" t="s">
        <v>19</v>
      </c>
      <c r="I32" t="s">
        <v>13</v>
      </c>
      <c r="J32">
        <v>19</v>
      </c>
    </row>
    <row r="33" spans="1:10" x14ac:dyDescent="0.25">
      <c r="A33" t="s">
        <v>54</v>
      </c>
      <c r="B33" t="s">
        <v>15</v>
      </c>
      <c r="C33" s="1">
        <v>45569</v>
      </c>
      <c r="D33">
        <v>9856</v>
      </c>
      <c r="E33">
        <v>688</v>
      </c>
      <c r="F33">
        <v>0.3</v>
      </c>
      <c r="G33">
        <v>0</v>
      </c>
      <c r="H33" t="s">
        <v>12</v>
      </c>
      <c r="I33" t="s">
        <v>13</v>
      </c>
      <c r="J33">
        <v>23</v>
      </c>
    </row>
    <row r="34" spans="1:10" x14ac:dyDescent="0.25">
      <c r="A34" t="s">
        <v>55</v>
      </c>
      <c r="B34" t="s">
        <v>43</v>
      </c>
      <c r="C34" s="1">
        <v>45824</v>
      </c>
      <c r="D34">
        <v>49717</v>
      </c>
      <c r="E34">
        <v>636</v>
      </c>
      <c r="F34">
        <v>0.53</v>
      </c>
      <c r="G34">
        <v>5</v>
      </c>
      <c r="H34" t="s">
        <v>27</v>
      </c>
      <c r="I34" t="s">
        <v>17</v>
      </c>
      <c r="J34">
        <v>14</v>
      </c>
    </row>
    <row r="35" spans="1:10" x14ac:dyDescent="0.25">
      <c r="A35" t="s">
        <v>56</v>
      </c>
      <c r="B35" t="s">
        <v>43</v>
      </c>
      <c r="C35" s="1">
        <v>45624</v>
      </c>
      <c r="D35">
        <v>36758</v>
      </c>
      <c r="E35">
        <v>782</v>
      </c>
      <c r="F35">
        <v>0.56999999999999995</v>
      </c>
      <c r="G35">
        <v>0</v>
      </c>
      <c r="H35" t="s">
        <v>41</v>
      </c>
      <c r="I35" t="s">
        <v>13</v>
      </c>
      <c r="J35">
        <v>21</v>
      </c>
    </row>
    <row r="36" spans="1:10" x14ac:dyDescent="0.25">
      <c r="A36" t="s">
        <v>57</v>
      </c>
      <c r="B36" t="s">
        <v>15</v>
      </c>
      <c r="C36" s="1">
        <v>45554</v>
      </c>
      <c r="D36">
        <v>15423</v>
      </c>
      <c r="E36">
        <v>534</v>
      </c>
      <c r="F36">
        <v>0.26</v>
      </c>
      <c r="G36">
        <v>2</v>
      </c>
      <c r="H36" t="s">
        <v>19</v>
      </c>
      <c r="I36" t="s">
        <v>23</v>
      </c>
      <c r="J36">
        <v>23</v>
      </c>
    </row>
    <row r="37" spans="1:10" x14ac:dyDescent="0.25">
      <c r="A37" t="s">
        <v>58</v>
      </c>
      <c r="B37" t="s">
        <v>15</v>
      </c>
      <c r="C37" s="1">
        <v>45672</v>
      </c>
      <c r="D37">
        <v>63571</v>
      </c>
      <c r="E37">
        <v>770</v>
      </c>
      <c r="F37">
        <v>0.4</v>
      </c>
      <c r="G37">
        <v>0</v>
      </c>
      <c r="H37" t="s">
        <v>16</v>
      </c>
      <c r="I37" t="s">
        <v>13</v>
      </c>
      <c r="J37">
        <v>19</v>
      </c>
    </row>
    <row r="38" spans="1:10" x14ac:dyDescent="0.25">
      <c r="A38" t="s">
        <v>59</v>
      </c>
      <c r="B38" t="s">
        <v>43</v>
      </c>
      <c r="C38" s="1">
        <v>45749</v>
      </c>
      <c r="D38">
        <v>75466</v>
      </c>
      <c r="E38">
        <v>740</v>
      </c>
      <c r="F38">
        <v>0.56999999999999995</v>
      </c>
      <c r="G38">
        <v>5</v>
      </c>
      <c r="H38" t="s">
        <v>12</v>
      </c>
      <c r="I38" t="s">
        <v>17</v>
      </c>
      <c r="J38">
        <v>17</v>
      </c>
    </row>
    <row r="39" spans="1:10" x14ac:dyDescent="0.25">
      <c r="A39" t="s">
        <v>60</v>
      </c>
      <c r="B39" t="s">
        <v>43</v>
      </c>
      <c r="C39" s="1">
        <v>45350</v>
      </c>
      <c r="D39">
        <v>133751</v>
      </c>
      <c r="E39">
        <v>788</v>
      </c>
      <c r="F39">
        <v>0.16</v>
      </c>
      <c r="G39">
        <v>0</v>
      </c>
      <c r="H39" t="s">
        <v>16</v>
      </c>
      <c r="I39" t="s">
        <v>13</v>
      </c>
      <c r="J39">
        <v>30</v>
      </c>
    </row>
    <row r="40" spans="1:10" x14ac:dyDescent="0.25">
      <c r="A40" t="s">
        <v>61</v>
      </c>
      <c r="B40" t="s">
        <v>15</v>
      </c>
      <c r="C40" s="1">
        <v>45541</v>
      </c>
      <c r="D40">
        <v>122194</v>
      </c>
      <c r="E40">
        <v>588</v>
      </c>
      <c r="F40">
        <v>0.27</v>
      </c>
      <c r="G40">
        <v>0</v>
      </c>
      <c r="H40" t="s">
        <v>12</v>
      </c>
      <c r="I40" t="s">
        <v>13</v>
      </c>
      <c r="J40">
        <v>24</v>
      </c>
    </row>
    <row r="41" spans="1:10" x14ac:dyDescent="0.25">
      <c r="A41" t="s">
        <v>62</v>
      </c>
      <c r="B41" t="s">
        <v>15</v>
      </c>
      <c r="C41" s="1">
        <v>45979</v>
      </c>
      <c r="D41">
        <v>124606</v>
      </c>
      <c r="E41">
        <v>690</v>
      </c>
      <c r="F41">
        <v>0.33</v>
      </c>
      <c r="G41">
        <v>0</v>
      </c>
      <c r="H41" t="s">
        <v>22</v>
      </c>
      <c r="I41" t="s">
        <v>13</v>
      </c>
      <c r="J41">
        <v>9</v>
      </c>
    </row>
    <row r="42" spans="1:10" x14ac:dyDescent="0.25">
      <c r="A42" t="s">
        <v>63</v>
      </c>
      <c r="B42" t="s">
        <v>21</v>
      </c>
      <c r="C42" s="1">
        <v>45729</v>
      </c>
      <c r="D42">
        <v>74474</v>
      </c>
      <c r="E42">
        <v>613</v>
      </c>
      <c r="F42">
        <v>0.6</v>
      </c>
      <c r="G42">
        <v>5</v>
      </c>
      <c r="H42" t="s">
        <v>12</v>
      </c>
      <c r="I42" t="s">
        <v>23</v>
      </c>
      <c r="J42">
        <v>17</v>
      </c>
    </row>
    <row r="43" spans="1:10" x14ac:dyDescent="0.25">
      <c r="A43" t="s">
        <v>64</v>
      </c>
      <c r="B43" t="s">
        <v>11</v>
      </c>
      <c r="C43" s="1">
        <v>45526</v>
      </c>
      <c r="D43">
        <v>5979</v>
      </c>
      <c r="E43">
        <v>535</v>
      </c>
      <c r="F43">
        <v>0.41</v>
      </c>
      <c r="G43">
        <v>0</v>
      </c>
      <c r="H43" t="s">
        <v>16</v>
      </c>
      <c r="I43" t="s">
        <v>13</v>
      </c>
      <c r="J43">
        <v>24</v>
      </c>
    </row>
    <row r="44" spans="1:10" x14ac:dyDescent="0.25">
      <c r="A44" t="s">
        <v>65</v>
      </c>
      <c r="B44" t="s">
        <v>21</v>
      </c>
      <c r="C44" s="1">
        <v>45512</v>
      </c>
      <c r="D44">
        <v>126170</v>
      </c>
      <c r="E44">
        <v>734</v>
      </c>
      <c r="F44">
        <v>0.28999999999999998</v>
      </c>
      <c r="G44">
        <v>0</v>
      </c>
      <c r="H44" t="s">
        <v>16</v>
      </c>
      <c r="I44" t="s">
        <v>13</v>
      </c>
      <c r="J44">
        <v>25</v>
      </c>
    </row>
    <row r="45" spans="1:10" x14ac:dyDescent="0.25">
      <c r="A45" t="s">
        <v>66</v>
      </c>
      <c r="B45" t="s">
        <v>11</v>
      </c>
      <c r="C45" s="1">
        <v>45339</v>
      </c>
      <c r="D45">
        <v>52034</v>
      </c>
      <c r="E45">
        <v>673</v>
      </c>
      <c r="F45">
        <v>0.21</v>
      </c>
      <c r="G45">
        <v>5</v>
      </c>
      <c r="H45" t="s">
        <v>41</v>
      </c>
      <c r="I45" t="s">
        <v>23</v>
      </c>
      <c r="J45">
        <v>30</v>
      </c>
    </row>
    <row r="46" spans="1:10" x14ac:dyDescent="0.25">
      <c r="A46" t="s">
        <v>67</v>
      </c>
      <c r="B46" t="s">
        <v>21</v>
      </c>
      <c r="C46" s="1">
        <v>45694</v>
      </c>
      <c r="D46">
        <v>115284</v>
      </c>
      <c r="E46">
        <v>755</v>
      </c>
      <c r="F46">
        <v>0.61</v>
      </c>
      <c r="G46">
        <v>0</v>
      </c>
      <c r="H46" t="s">
        <v>12</v>
      </c>
      <c r="I46" t="s">
        <v>13</v>
      </c>
      <c r="J46">
        <v>19</v>
      </c>
    </row>
    <row r="47" spans="1:10" x14ac:dyDescent="0.25">
      <c r="A47" t="s">
        <v>68</v>
      </c>
      <c r="B47" t="s">
        <v>43</v>
      </c>
      <c r="C47" s="1">
        <v>45697</v>
      </c>
      <c r="D47">
        <v>9872</v>
      </c>
      <c r="E47">
        <v>785</v>
      </c>
      <c r="F47">
        <v>0.34</v>
      </c>
      <c r="G47">
        <v>0</v>
      </c>
      <c r="H47" t="s">
        <v>12</v>
      </c>
      <c r="I47" t="s">
        <v>13</v>
      </c>
      <c r="J47">
        <v>19</v>
      </c>
    </row>
    <row r="48" spans="1:10" x14ac:dyDescent="0.25">
      <c r="A48" t="s">
        <v>69</v>
      </c>
      <c r="B48" t="s">
        <v>21</v>
      </c>
      <c r="C48" s="1">
        <v>45662</v>
      </c>
      <c r="D48">
        <v>42312</v>
      </c>
      <c r="E48">
        <v>0</v>
      </c>
      <c r="F48">
        <v>0.16</v>
      </c>
      <c r="G48">
        <v>0</v>
      </c>
      <c r="H48" t="s">
        <v>41</v>
      </c>
      <c r="I48" t="s">
        <v>13</v>
      </c>
      <c r="J48">
        <v>20</v>
      </c>
    </row>
    <row r="49" spans="1:10" x14ac:dyDescent="0.25">
      <c r="A49" t="s">
        <v>70</v>
      </c>
      <c r="B49" t="s">
        <v>21</v>
      </c>
      <c r="C49" s="1">
        <v>45460</v>
      </c>
      <c r="D49">
        <v>32140</v>
      </c>
      <c r="E49">
        <v>454</v>
      </c>
      <c r="F49">
        <v>0.21</v>
      </c>
      <c r="G49">
        <v>0</v>
      </c>
      <c r="H49" t="s">
        <v>19</v>
      </c>
      <c r="I49" t="s">
        <v>13</v>
      </c>
      <c r="J49">
        <v>26</v>
      </c>
    </row>
    <row r="50" spans="1:10" x14ac:dyDescent="0.25">
      <c r="A50" t="s">
        <v>71</v>
      </c>
      <c r="B50" t="s">
        <v>43</v>
      </c>
      <c r="C50" s="1">
        <v>45320</v>
      </c>
      <c r="D50">
        <v>116865</v>
      </c>
      <c r="E50">
        <v>652</v>
      </c>
      <c r="F50">
        <v>0.22</v>
      </c>
      <c r="G50">
        <v>0</v>
      </c>
      <c r="H50" t="s">
        <v>12</v>
      </c>
      <c r="I50" t="s">
        <v>13</v>
      </c>
      <c r="J50">
        <v>31</v>
      </c>
    </row>
    <row r="51" spans="1:10" x14ac:dyDescent="0.25">
      <c r="A51" t="s">
        <v>72</v>
      </c>
      <c r="B51" t="s">
        <v>11</v>
      </c>
      <c r="C51" s="1">
        <v>45651</v>
      </c>
      <c r="D51">
        <v>95661</v>
      </c>
      <c r="E51">
        <v>723</v>
      </c>
      <c r="F51">
        <v>0.3</v>
      </c>
      <c r="G51">
        <v>0</v>
      </c>
      <c r="H51" t="s">
        <v>19</v>
      </c>
      <c r="I51" t="s">
        <v>17</v>
      </c>
      <c r="J51">
        <v>20</v>
      </c>
    </row>
    <row r="52" spans="1:10" x14ac:dyDescent="0.25">
      <c r="A52" t="s">
        <v>73</v>
      </c>
      <c r="B52" t="s">
        <v>21</v>
      </c>
      <c r="C52" s="1">
        <v>45300</v>
      </c>
      <c r="D52">
        <v>128447</v>
      </c>
      <c r="E52">
        <v>9999</v>
      </c>
      <c r="F52">
        <v>0.52</v>
      </c>
      <c r="G52">
        <v>0</v>
      </c>
      <c r="H52" t="s">
        <v>22</v>
      </c>
      <c r="I52" t="s">
        <v>13</v>
      </c>
      <c r="J52">
        <v>32</v>
      </c>
    </row>
    <row r="53" spans="1:10" x14ac:dyDescent="0.25">
      <c r="A53" t="s">
        <v>74</v>
      </c>
      <c r="B53" t="s">
        <v>11</v>
      </c>
      <c r="C53" s="1">
        <v>45516</v>
      </c>
      <c r="D53">
        <v>106848</v>
      </c>
      <c r="E53">
        <v>498</v>
      </c>
      <c r="F53">
        <v>0.45</v>
      </c>
      <c r="G53">
        <v>0</v>
      </c>
      <c r="H53" t="s">
        <v>27</v>
      </c>
      <c r="I53" t="s">
        <v>13</v>
      </c>
      <c r="J53">
        <v>24</v>
      </c>
    </row>
    <row r="54" spans="1:10" x14ac:dyDescent="0.25">
      <c r="A54" t="s">
        <v>75</v>
      </c>
      <c r="B54" t="s">
        <v>15</v>
      </c>
      <c r="C54" s="1">
        <v>45980</v>
      </c>
      <c r="D54">
        <v>132832</v>
      </c>
      <c r="E54">
        <v>736</v>
      </c>
      <c r="F54">
        <v>0.42</v>
      </c>
      <c r="G54">
        <v>0</v>
      </c>
      <c r="H54" t="s">
        <v>16</v>
      </c>
      <c r="I54" t="s">
        <v>17</v>
      </c>
      <c r="J54">
        <v>9</v>
      </c>
    </row>
    <row r="55" spans="1:10" x14ac:dyDescent="0.25">
      <c r="A55" t="s">
        <v>76</v>
      </c>
      <c r="B55" t="s">
        <v>21</v>
      </c>
      <c r="C55" s="1">
        <v>45737</v>
      </c>
      <c r="D55">
        <v>123419</v>
      </c>
      <c r="E55">
        <v>806</v>
      </c>
      <c r="F55">
        <v>0.52</v>
      </c>
      <c r="G55">
        <v>0</v>
      </c>
      <c r="H55" t="s">
        <v>12</v>
      </c>
      <c r="I55" t="s">
        <v>13</v>
      </c>
      <c r="J55">
        <v>17</v>
      </c>
    </row>
    <row r="56" spans="1:10" x14ac:dyDescent="0.25">
      <c r="A56" t="s">
        <v>77</v>
      </c>
      <c r="B56" t="s">
        <v>11</v>
      </c>
      <c r="C56" s="1">
        <v>45360</v>
      </c>
      <c r="D56">
        <v>81702</v>
      </c>
      <c r="E56">
        <v>828</v>
      </c>
      <c r="F56">
        <v>0.38</v>
      </c>
      <c r="G56">
        <v>0</v>
      </c>
      <c r="H56" t="s">
        <v>12</v>
      </c>
      <c r="I56" t="s">
        <v>13</v>
      </c>
      <c r="J56">
        <v>30</v>
      </c>
    </row>
    <row r="57" spans="1:10" x14ac:dyDescent="0.25">
      <c r="A57" t="s">
        <v>78</v>
      </c>
      <c r="B57" t="s">
        <v>21</v>
      </c>
      <c r="C57" s="1">
        <v>45838</v>
      </c>
      <c r="D57">
        <v>14123</v>
      </c>
      <c r="E57">
        <v>706</v>
      </c>
      <c r="F57">
        <v>0.41</v>
      </c>
      <c r="G57">
        <v>0</v>
      </c>
      <c r="H57" t="s">
        <v>12</v>
      </c>
      <c r="I57" t="s">
        <v>13</v>
      </c>
      <c r="J57">
        <v>14</v>
      </c>
    </row>
    <row r="58" spans="1:10" x14ac:dyDescent="0.25">
      <c r="A58" t="s">
        <v>79</v>
      </c>
      <c r="B58" t="s">
        <v>11</v>
      </c>
      <c r="C58" s="1">
        <v>45293</v>
      </c>
      <c r="D58">
        <v>36365</v>
      </c>
      <c r="E58">
        <v>846</v>
      </c>
      <c r="F58">
        <v>0.2</v>
      </c>
      <c r="G58">
        <v>0</v>
      </c>
      <c r="H58" t="s">
        <v>22</v>
      </c>
      <c r="I58" t="s">
        <v>13</v>
      </c>
      <c r="J58">
        <v>32</v>
      </c>
    </row>
    <row r="59" spans="1:10" x14ac:dyDescent="0.25">
      <c r="A59" t="s">
        <v>80</v>
      </c>
      <c r="B59" t="s">
        <v>43</v>
      </c>
      <c r="C59" s="1">
        <v>45519</v>
      </c>
      <c r="D59">
        <v>89248</v>
      </c>
      <c r="E59">
        <v>549</v>
      </c>
      <c r="F59">
        <v>0.28000000000000003</v>
      </c>
      <c r="G59">
        <v>3</v>
      </c>
      <c r="H59" t="s">
        <v>22</v>
      </c>
      <c r="I59" t="s">
        <v>17</v>
      </c>
      <c r="J59">
        <v>24</v>
      </c>
    </row>
    <row r="60" spans="1:10" x14ac:dyDescent="0.25">
      <c r="A60" t="s">
        <v>81</v>
      </c>
      <c r="B60" t="s">
        <v>15</v>
      </c>
      <c r="C60" s="1">
        <v>45857</v>
      </c>
      <c r="D60">
        <v>69071</v>
      </c>
      <c r="E60">
        <v>836</v>
      </c>
      <c r="F60">
        <v>0.37</v>
      </c>
      <c r="G60">
        <v>1</v>
      </c>
      <c r="H60" t="s">
        <v>27</v>
      </c>
      <c r="I60" t="s">
        <v>17</v>
      </c>
      <c r="J60">
        <v>13</v>
      </c>
    </row>
    <row r="61" spans="1:10" x14ac:dyDescent="0.25">
      <c r="A61" t="s">
        <v>82</v>
      </c>
      <c r="B61" t="s">
        <v>21</v>
      </c>
      <c r="C61" s="1">
        <v>45781</v>
      </c>
      <c r="D61">
        <v>53358</v>
      </c>
      <c r="E61">
        <v>809</v>
      </c>
      <c r="F61">
        <v>0.45</v>
      </c>
      <c r="G61">
        <v>0</v>
      </c>
      <c r="H61" t="s">
        <v>27</v>
      </c>
      <c r="I61" t="s">
        <v>13</v>
      </c>
      <c r="J61">
        <v>16</v>
      </c>
    </row>
    <row r="62" spans="1:10" x14ac:dyDescent="0.25">
      <c r="A62" t="s">
        <v>83</v>
      </c>
      <c r="B62" t="s">
        <v>15</v>
      </c>
      <c r="C62" s="1">
        <v>45593</v>
      </c>
      <c r="D62">
        <v>36821</v>
      </c>
      <c r="E62">
        <v>704</v>
      </c>
      <c r="F62">
        <v>0.38</v>
      </c>
      <c r="G62">
        <v>2</v>
      </c>
      <c r="H62" t="s">
        <v>19</v>
      </c>
      <c r="I62" t="s">
        <v>17</v>
      </c>
      <c r="J62">
        <v>22</v>
      </c>
    </row>
    <row r="63" spans="1:10" x14ac:dyDescent="0.25">
      <c r="A63" t="s">
        <v>84</v>
      </c>
      <c r="B63" t="s">
        <v>21</v>
      </c>
      <c r="C63" s="1">
        <v>45860</v>
      </c>
      <c r="D63">
        <v>132397</v>
      </c>
      <c r="E63">
        <v>731</v>
      </c>
      <c r="F63">
        <v>0.35</v>
      </c>
      <c r="G63">
        <v>2</v>
      </c>
      <c r="H63" t="s">
        <v>22</v>
      </c>
      <c r="I63" t="s">
        <v>23</v>
      </c>
      <c r="J63">
        <v>13</v>
      </c>
    </row>
    <row r="64" spans="1:10" x14ac:dyDescent="0.25">
      <c r="A64" t="s">
        <v>85</v>
      </c>
      <c r="B64" t="s">
        <v>21</v>
      </c>
      <c r="C64" s="1">
        <v>45412</v>
      </c>
      <c r="D64">
        <v>97928</v>
      </c>
      <c r="E64">
        <v>685</v>
      </c>
      <c r="F64">
        <v>0.26</v>
      </c>
      <c r="G64">
        <v>0</v>
      </c>
      <c r="H64" t="s">
        <v>12</v>
      </c>
      <c r="I64" t="s">
        <v>13</v>
      </c>
      <c r="J64">
        <v>28</v>
      </c>
    </row>
    <row r="65" spans="1:10" x14ac:dyDescent="0.25">
      <c r="A65" t="s">
        <v>86</v>
      </c>
      <c r="B65" t="s">
        <v>15</v>
      </c>
      <c r="C65" s="1">
        <v>45748</v>
      </c>
      <c r="D65">
        <v>64053</v>
      </c>
      <c r="E65">
        <v>707</v>
      </c>
      <c r="F65">
        <v>0.38</v>
      </c>
      <c r="G65">
        <v>0</v>
      </c>
      <c r="H65" t="s">
        <v>12</v>
      </c>
      <c r="I65" t="s">
        <v>13</v>
      </c>
      <c r="J65">
        <v>17</v>
      </c>
    </row>
    <row r="66" spans="1:10" x14ac:dyDescent="0.25">
      <c r="A66" t="s">
        <v>87</v>
      </c>
      <c r="B66" t="s">
        <v>21</v>
      </c>
      <c r="C66" s="1">
        <v>45882</v>
      </c>
      <c r="D66">
        <v>146742</v>
      </c>
      <c r="E66">
        <v>757</v>
      </c>
      <c r="F66">
        <v>0.34</v>
      </c>
      <c r="G66">
        <v>5</v>
      </c>
      <c r="H66" t="s">
        <v>12</v>
      </c>
      <c r="I66" t="s">
        <v>17</v>
      </c>
      <c r="J66">
        <v>12</v>
      </c>
    </row>
    <row r="67" spans="1:10" x14ac:dyDescent="0.25">
      <c r="A67" t="s">
        <v>88</v>
      </c>
      <c r="B67" t="s">
        <v>21</v>
      </c>
      <c r="C67" s="1">
        <v>45745</v>
      </c>
      <c r="D67">
        <v>93892</v>
      </c>
      <c r="E67">
        <v>486</v>
      </c>
      <c r="F67">
        <v>0.51</v>
      </c>
      <c r="G67">
        <v>6</v>
      </c>
      <c r="H67" t="s">
        <v>16</v>
      </c>
      <c r="I67" t="s">
        <v>89</v>
      </c>
      <c r="J67">
        <v>17</v>
      </c>
    </row>
    <row r="68" spans="1:10" x14ac:dyDescent="0.25">
      <c r="A68" t="s">
        <v>90</v>
      </c>
      <c r="B68" t="s">
        <v>15</v>
      </c>
      <c r="C68" s="1">
        <v>45340</v>
      </c>
      <c r="D68">
        <v>84279</v>
      </c>
      <c r="E68">
        <v>568</v>
      </c>
      <c r="F68">
        <v>0.56999999999999995</v>
      </c>
      <c r="G68">
        <v>5</v>
      </c>
      <c r="H68" t="s">
        <v>19</v>
      </c>
      <c r="I68" t="s">
        <v>89</v>
      </c>
      <c r="J68">
        <v>30</v>
      </c>
    </row>
    <row r="69" spans="1:10" x14ac:dyDescent="0.25">
      <c r="A69" t="s">
        <v>91</v>
      </c>
      <c r="B69" t="s">
        <v>21</v>
      </c>
      <c r="C69" s="1">
        <v>45299</v>
      </c>
      <c r="D69">
        <v>30845</v>
      </c>
      <c r="E69">
        <v>759</v>
      </c>
      <c r="F69">
        <v>0.6</v>
      </c>
      <c r="G69">
        <v>0</v>
      </c>
      <c r="H69" t="s">
        <v>12</v>
      </c>
      <c r="I69" t="s">
        <v>13</v>
      </c>
      <c r="J69">
        <v>32</v>
      </c>
    </row>
    <row r="70" spans="1:10" x14ac:dyDescent="0.25">
      <c r="A70" t="s">
        <v>92</v>
      </c>
      <c r="B70" t="s">
        <v>21</v>
      </c>
      <c r="C70" s="1">
        <v>45818</v>
      </c>
      <c r="D70">
        <v>53038</v>
      </c>
      <c r="E70">
        <v>461</v>
      </c>
      <c r="F70">
        <v>0.22</v>
      </c>
      <c r="G70">
        <v>0</v>
      </c>
      <c r="H70" t="s">
        <v>41</v>
      </c>
      <c r="I70" t="s">
        <v>13</v>
      </c>
      <c r="J70">
        <v>14</v>
      </c>
    </row>
    <row r="71" spans="1:10" x14ac:dyDescent="0.25">
      <c r="A71" t="s">
        <v>93</v>
      </c>
      <c r="B71" t="s">
        <v>21</v>
      </c>
      <c r="C71" s="1">
        <v>45454</v>
      </c>
      <c r="D71">
        <v>94632</v>
      </c>
      <c r="E71">
        <v>587</v>
      </c>
      <c r="F71">
        <v>0.55000000000000004</v>
      </c>
      <c r="G71">
        <v>0</v>
      </c>
      <c r="H71" t="s">
        <v>19</v>
      </c>
      <c r="I71" t="s">
        <v>13</v>
      </c>
      <c r="J71">
        <v>26</v>
      </c>
    </row>
    <row r="72" spans="1:10" x14ac:dyDescent="0.25">
      <c r="A72" t="s">
        <v>94</v>
      </c>
      <c r="B72" t="s">
        <v>15</v>
      </c>
      <c r="C72" s="1">
        <v>45568</v>
      </c>
      <c r="D72">
        <v>23416</v>
      </c>
      <c r="E72">
        <v>469</v>
      </c>
      <c r="F72">
        <v>0.28999999999999998</v>
      </c>
      <c r="G72">
        <v>0</v>
      </c>
      <c r="H72" t="s">
        <v>12</v>
      </c>
      <c r="I72" t="s">
        <v>13</v>
      </c>
      <c r="J72">
        <v>23</v>
      </c>
    </row>
    <row r="73" spans="1:10" x14ac:dyDescent="0.25">
      <c r="A73" t="s">
        <v>95</v>
      </c>
      <c r="B73" t="s">
        <v>21</v>
      </c>
      <c r="C73" s="1">
        <v>45806</v>
      </c>
      <c r="D73">
        <v>100904</v>
      </c>
      <c r="E73">
        <v>476</v>
      </c>
      <c r="F73">
        <v>0.52</v>
      </c>
      <c r="G73">
        <v>5</v>
      </c>
      <c r="H73" t="s">
        <v>41</v>
      </c>
      <c r="I73" t="s">
        <v>89</v>
      </c>
      <c r="J73">
        <v>15</v>
      </c>
    </row>
    <row r="74" spans="1:10" x14ac:dyDescent="0.25">
      <c r="A74" t="s">
        <v>96</v>
      </c>
      <c r="B74" t="s">
        <v>11</v>
      </c>
      <c r="C74" s="1">
        <v>45850</v>
      </c>
      <c r="D74">
        <v>138703</v>
      </c>
      <c r="E74">
        <v>528</v>
      </c>
      <c r="F74">
        <v>0.33</v>
      </c>
      <c r="G74">
        <v>3</v>
      </c>
      <c r="H74" t="s">
        <v>22</v>
      </c>
      <c r="I74" t="s">
        <v>23</v>
      </c>
      <c r="J74">
        <v>13</v>
      </c>
    </row>
    <row r="75" spans="1:10" x14ac:dyDescent="0.25">
      <c r="A75" t="s">
        <v>97</v>
      </c>
      <c r="B75" t="s">
        <v>11</v>
      </c>
      <c r="C75" s="1">
        <v>45942</v>
      </c>
      <c r="D75">
        <v>85470</v>
      </c>
      <c r="E75">
        <v>801</v>
      </c>
      <c r="F75">
        <v>0.34</v>
      </c>
      <c r="G75">
        <v>0</v>
      </c>
      <c r="H75" t="s">
        <v>16</v>
      </c>
      <c r="I75" t="s">
        <v>13</v>
      </c>
      <c r="J75">
        <v>10</v>
      </c>
    </row>
    <row r="76" spans="1:10" x14ac:dyDescent="0.25">
      <c r="A76" t="s">
        <v>98</v>
      </c>
      <c r="B76" t="s">
        <v>15</v>
      </c>
      <c r="C76" s="1">
        <v>45917</v>
      </c>
      <c r="D76">
        <v>83777</v>
      </c>
      <c r="E76">
        <v>481</v>
      </c>
      <c r="F76">
        <v>0.39</v>
      </c>
      <c r="G76">
        <v>5</v>
      </c>
      <c r="H76" t="s">
        <v>12</v>
      </c>
      <c r="I76" t="s">
        <v>23</v>
      </c>
      <c r="J76">
        <v>11</v>
      </c>
    </row>
    <row r="77" spans="1:10" x14ac:dyDescent="0.25">
      <c r="A77" t="s">
        <v>99</v>
      </c>
      <c r="B77" t="s">
        <v>21</v>
      </c>
      <c r="C77" s="1">
        <v>45374</v>
      </c>
      <c r="D77">
        <v>41224</v>
      </c>
      <c r="E77">
        <v>630</v>
      </c>
      <c r="F77">
        <v>0.53</v>
      </c>
      <c r="G77">
        <v>6</v>
      </c>
      <c r="H77" t="s">
        <v>22</v>
      </c>
      <c r="I77" t="s">
        <v>17</v>
      </c>
      <c r="J77">
        <v>29</v>
      </c>
    </row>
    <row r="78" spans="1:10" x14ac:dyDescent="0.25">
      <c r="A78" t="s">
        <v>100</v>
      </c>
      <c r="B78" t="s">
        <v>15</v>
      </c>
      <c r="C78" s="1">
        <v>45810</v>
      </c>
      <c r="D78">
        <v>111805</v>
      </c>
      <c r="E78">
        <v>577</v>
      </c>
      <c r="F78">
        <v>0.35</v>
      </c>
      <c r="G78">
        <v>0</v>
      </c>
      <c r="H78" t="s">
        <v>12</v>
      </c>
      <c r="I78" t="s">
        <v>13</v>
      </c>
      <c r="J78">
        <v>15</v>
      </c>
    </row>
    <row r="79" spans="1:10" x14ac:dyDescent="0.25">
      <c r="A79" t="s">
        <v>101</v>
      </c>
      <c r="B79" t="s">
        <v>21</v>
      </c>
      <c r="C79" s="1">
        <v>45866</v>
      </c>
      <c r="D79">
        <v>136414</v>
      </c>
      <c r="E79">
        <v>639</v>
      </c>
      <c r="F79">
        <v>0.28000000000000003</v>
      </c>
      <c r="G79">
        <v>0</v>
      </c>
      <c r="H79" t="s">
        <v>12</v>
      </c>
      <c r="I79" t="s">
        <v>13</v>
      </c>
      <c r="J79">
        <v>13</v>
      </c>
    </row>
    <row r="80" spans="1:10" x14ac:dyDescent="0.25">
      <c r="A80" t="s">
        <v>102</v>
      </c>
      <c r="B80" t="s">
        <v>15</v>
      </c>
      <c r="C80" s="1">
        <v>45707</v>
      </c>
      <c r="D80">
        <v>109439</v>
      </c>
      <c r="E80">
        <v>525</v>
      </c>
      <c r="F80">
        <v>0.51</v>
      </c>
      <c r="G80">
        <v>5</v>
      </c>
      <c r="H80" t="s">
        <v>12</v>
      </c>
      <c r="I80" t="s">
        <v>89</v>
      </c>
      <c r="J80">
        <v>18</v>
      </c>
    </row>
    <row r="81" spans="1:10" x14ac:dyDescent="0.25">
      <c r="A81" t="s">
        <v>103</v>
      </c>
      <c r="B81" t="s">
        <v>21</v>
      </c>
      <c r="C81" s="1">
        <v>45803</v>
      </c>
      <c r="D81">
        <v>88933</v>
      </c>
      <c r="E81">
        <v>804</v>
      </c>
      <c r="F81">
        <v>0.27</v>
      </c>
      <c r="G81">
        <v>3</v>
      </c>
      <c r="H81" t="s">
        <v>41</v>
      </c>
      <c r="I81" t="s">
        <v>17</v>
      </c>
      <c r="J81">
        <v>15</v>
      </c>
    </row>
    <row r="82" spans="1:10" x14ac:dyDescent="0.25">
      <c r="A82" t="s">
        <v>104</v>
      </c>
      <c r="B82" t="s">
        <v>43</v>
      </c>
      <c r="C82" s="1">
        <v>45781</v>
      </c>
      <c r="D82">
        <v>86628</v>
      </c>
      <c r="E82">
        <v>515</v>
      </c>
      <c r="F82">
        <v>0.45</v>
      </c>
      <c r="G82">
        <v>0</v>
      </c>
      <c r="H82" t="s">
        <v>19</v>
      </c>
      <c r="I82" t="s">
        <v>13</v>
      </c>
      <c r="J82">
        <v>16</v>
      </c>
    </row>
    <row r="83" spans="1:10" x14ac:dyDescent="0.25">
      <c r="A83" t="s">
        <v>105</v>
      </c>
      <c r="B83" t="s">
        <v>11</v>
      </c>
      <c r="C83" s="1">
        <v>45408</v>
      </c>
      <c r="D83">
        <v>107854</v>
      </c>
      <c r="E83">
        <v>831</v>
      </c>
      <c r="F83">
        <v>0.23</v>
      </c>
      <c r="G83">
        <v>0</v>
      </c>
      <c r="H83" t="s">
        <v>19</v>
      </c>
      <c r="I83" t="s">
        <v>13</v>
      </c>
      <c r="J83">
        <v>28</v>
      </c>
    </row>
    <row r="84" spans="1:10" x14ac:dyDescent="0.25">
      <c r="A84" t="s">
        <v>106</v>
      </c>
      <c r="B84" t="s">
        <v>15</v>
      </c>
      <c r="C84" s="1">
        <v>45643</v>
      </c>
      <c r="D84">
        <v>36340</v>
      </c>
      <c r="E84">
        <v>790</v>
      </c>
      <c r="F84">
        <v>0.53</v>
      </c>
      <c r="G84">
        <v>4</v>
      </c>
      <c r="H84" t="s">
        <v>19</v>
      </c>
      <c r="I84" t="s">
        <v>17</v>
      </c>
      <c r="J84">
        <v>20</v>
      </c>
    </row>
    <row r="85" spans="1:10" x14ac:dyDescent="0.25">
      <c r="A85" t="s">
        <v>107</v>
      </c>
      <c r="B85" t="s">
        <v>11</v>
      </c>
      <c r="C85" s="1">
        <v>45682</v>
      </c>
      <c r="D85">
        <v>114558</v>
      </c>
      <c r="E85">
        <v>456</v>
      </c>
      <c r="F85">
        <v>0.39</v>
      </c>
      <c r="G85">
        <v>0</v>
      </c>
      <c r="H85" t="s">
        <v>19</v>
      </c>
      <c r="I85" t="s">
        <v>13</v>
      </c>
      <c r="J85">
        <v>19</v>
      </c>
    </row>
    <row r="86" spans="1:10" x14ac:dyDescent="0.25">
      <c r="A86" t="s">
        <v>108</v>
      </c>
      <c r="B86" t="s">
        <v>15</v>
      </c>
      <c r="C86" s="1">
        <v>45747</v>
      </c>
      <c r="D86">
        <v>111508</v>
      </c>
      <c r="E86">
        <v>793</v>
      </c>
      <c r="F86">
        <v>0.46</v>
      </c>
      <c r="G86">
        <v>6</v>
      </c>
      <c r="H86" t="s">
        <v>16</v>
      </c>
      <c r="I86" t="s">
        <v>17</v>
      </c>
      <c r="J86">
        <v>17</v>
      </c>
    </row>
    <row r="87" spans="1:10" x14ac:dyDescent="0.25">
      <c r="A87" t="s">
        <v>109</v>
      </c>
      <c r="B87" t="s">
        <v>15</v>
      </c>
      <c r="C87" s="1">
        <v>45618</v>
      </c>
      <c r="D87">
        <v>149158</v>
      </c>
      <c r="E87">
        <v>848</v>
      </c>
      <c r="F87">
        <v>0.34</v>
      </c>
      <c r="G87">
        <v>1</v>
      </c>
      <c r="H87" t="s">
        <v>27</v>
      </c>
      <c r="I87" t="s">
        <v>17</v>
      </c>
      <c r="J87">
        <v>21</v>
      </c>
    </row>
    <row r="88" spans="1:10" x14ac:dyDescent="0.25">
      <c r="A88" t="s">
        <v>110</v>
      </c>
      <c r="B88" t="s">
        <v>15</v>
      </c>
      <c r="C88" s="1">
        <v>45761</v>
      </c>
      <c r="D88">
        <v>54700</v>
      </c>
      <c r="E88">
        <v>553</v>
      </c>
      <c r="F88">
        <v>0.42</v>
      </c>
      <c r="G88">
        <v>6</v>
      </c>
      <c r="H88" t="s">
        <v>19</v>
      </c>
      <c r="I88" t="s">
        <v>23</v>
      </c>
      <c r="J88">
        <v>16</v>
      </c>
    </row>
    <row r="89" spans="1:10" x14ac:dyDescent="0.25">
      <c r="A89" t="s">
        <v>111</v>
      </c>
      <c r="B89" t="s">
        <v>15</v>
      </c>
      <c r="C89" s="1">
        <v>45888</v>
      </c>
      <c r="D89">
        <v>135336</v>
      </c>
      <c r="E89">
        <v>539</v>
      </c>
      <c r="F89">
        <v>0.33</v>
      </c>
      <c r="G89">
        <v>4</v>
      </c>
      <c r="H89" t="s">
        <v>16</v>
      </c>
      <c r="I89" t="s">
        <v>23</v>
      </c>
      <c r="J89">
        <v>12</v>
      </c>
    </row>
    <row r="90" spans="1:10" x14ac:dyDescent="0.25">
      <c r="A90" t="s">
        <v>112</v>
      </c>
      <c r="B90" t="s">
        <v>11</v>
      </c>
      <c r="C90" s="1">
        <v>45399</v>
      </c>
      <c r="D90">
        <v>70730</v>
      </c>
      <c r="E90">
        <v>664</v>
      </c>
      <c r="F90">
        <v>0.56999999999999995</v>
      </c>
      <c r="G90">
        <v>0</v>
      </c>
      <c r="H90" t="s">
        <v>12</v>
      </c>
      <c r="I90" t="s">
        <v>13</v>
      </c>
      <c r="J90">
        <v>28</v>
      </c>
    </row>
    <row r="91" spans="1:10" x14ac:dyDescent="0.25">
      <c r="A91" t="s">
        <v>113</v>
      </c>
      <c r="B91" t="s">
        <v>21</v>
      </c>
      <c r="C91" s="1">
        <v>45596</v>
      </c>
      <c r="D91">
        <v>43944</v>
      </c>
      <c r="E91">
        <v>484</v>
      </c>
      <c r="F91">
        <v>0.2</v>
      </c>
      <c r="G91">
        <v>0</v>
      </c>
      <c r="H91" t="s">
        <v>41</v>
      </c>
      <c r="I91" t="s">
        <v>13</v>
      </c>
      <c r="J91">
        <v>22</v>
      </c>
    </row>
    <row r="92" spans="1:10" x14ac:dyDescent="0.25">
      <c r="A92" t="s">
        <v>114</v>
      </c>
      <c r="B92" t="s">
        <v>43</v>
      </c>
      <c r="C92" s="1">
        <v>45407</v>
      </c>
      <c r="D92">
        <v>141922</v>
      </c>
      <c r="E92">
        <v>613</v>
      </c>
      <c r="F92">
        <v>0.57999999999999996</v>
      </c>
      <c r="G92">
        <v>0</v>
      </c>
      <c r="H92" t="s">
        <v>16</v>
      </c>
      <c r="I92" t="s">
        <v>13</v>
      </c>
      <c r="J92">
        <v>28</v>
      </c>
    </row>
    <row r="93" spans="1:10" x14ac:dyDescent="0.25">
      <c r="A93" t="s">
        <v>115</v>
      </c>
      <c r="B93" t="s">
        <v>15</v>
      </c>
      <c r="C93" s="1">
        <v>45695</v>
      </c>
      <c r="D93">
        <v>115868</v>
      </c>
      <c r="E93">
        <v>791</v>
      </c>
      <c r="F93">
        <v>0.16</v>
      </c>
      <c r="G93">
        <v>0</v>
      </c>
      <c r="H93" t="s">
        <v>16</v>
      </c>
      <c r="I93" t="s">
        <v>13</v>
      </c>
      <c r="J93">
        <v>19</v>
      </c>
    </row>
    <row r="94" spans="1:10" x14ac:dyDescent="0.25">
      <c r="A94" t="s">
        <v>116</v>
      </c>
      <c r="B94" t="s">
        <v>21</v>
      </c>
      <c r="C94" s="1">
        <v>45541</v>
      </c>
      <c r="D94">
        <v>65020</v>
      </c>
      <c r="E94">
        <v>817</v>
      </c>
      <c r="F94">
        <v>0.61</v>
      </c>
      <c r="G94">
        <v>3</v>
      </c>
      <c r="H94" t="s">
        <v>12</v>
      </c>
      <c r="I94" t="s">
        <v>17</v>
      </c>
      <c r="J94">
        <v>24</v>
      </c>
    </row>
    <row r="95" spans="1:10" x14ac:dyDescent="0.25">
      <c r="A95" t="s">
        <v>117</v>
      </c>
      <c r="B95" t="s">
        <v>15</v>
      </c>
      <c r="C95" s="1">
        <v>45925</v>
      </c>
      <c r="D95">
        <v>65791</v>
      </c>
      <c r="E95">
        <v>734</v>
      </c>
      <c r="F95">
        <v>0.2</v>
      </c>
      <c r="G95">
        <v>0</v>
      </c>
      <c r="H95" t="s">
        <v>27</v>
      </c>
      <c r="I95" t="s">
        <v>13</v>
      </c>
      <c r="J95">
        <v>11</v>
      </c>
    </row>
    <row r="96" spans="1:10" x14ac:dyDescent="0.25">
      <c r="A96" t="s">
        <v>118</v>
      </c>
      <c r="B96" t="s">
        <v>15</v>
      </c>
      <c r="C96" s="1">
        <v>45624</v>
      </c>
      <c r="D96">
        <v>26772</v>
      </c>
      <c r="E96">
        <v>539</v>
      </c>
      <c r="F96">
        <v>0.56000000000000005</v>
      </c>
      <c r="G96">
        <v>1</v>
      </c>
      <c r="H96" t="s">
        <v>12</v>
      </c>
      <c r="I96" t="s">
        <v>89</v>
      </c>
      <c r="J96">
        <v>21</v>
      </c>
    </row>
    <row r="97" spans="1:10" x14ac:dyDescent="0.25">
      <c r="A97" t="s">
        <v>119</v>
      </c>
      <c r="B97" t="s">
        <v>21</v>
      </c>
      <c r="C97" s="1">
        <v>45417</v>
      </c>
      <c r="D97">
        <v>111396</v>
      </c>
      <c r="E97">
        <v>770</v>
      </c>
      <c r="F97">
        <v>0.44</v>
      </c>
      <c r="G97">
        <v>6</v>
      </c>
      <c r="H97" t="s">
        <v>19</v>
      </c>
      <c r="I97" t="s">
        <v>23</v>
      </c>
      <c r="J97">
        <v>28</v>
      </c>
    </row>
    <row r="98" spans="1:10" x14ac:dyDescent="0.25">
      <c r="A98" t="s">
        <v>120</v>
      </c>
      <c r="B98" t="s">
        <v>21</v>
      </c>
      <c r="C98" s="1">
        <v>45938</v>
      </c>
      <c r="D98">
        <v>30527</v>
      </c>
      <c r="E98">
        <v>687</v>
      </c>
      <c r="F98">
        <v>0.31</v>
      </c>
      <c r="G98">
        <v>4</v>
      </c>
      <c r="H98" t="s">
        <v>27</v>
      </c>
      <c r="I98" t="s">
        <v>17</v>
      </c>
      <c r="J98">
        <v>11</v>
      </c>
    </row>
    <row r="99" spans="1:10" x14ac:dyDescent="0.25">
      <c r="A99" t="s">
        <v>121</v>
      </c>
      <c r="B99" t="s">
        <v>15</v>
      </c>
      <c r="C99" s="1">
        <v>45538</v>
      </c>
      <c r="D99">
        <v>65056</v>
      </c>
      <c r="E99">
        <v>688</v>
      </c>
      <c r="F99">
        <v>0.63</v>
      </c>
      <c r="G99">
        <v>0</v>
      </c>
      <c r="H99" t="s">
        <v>19</v>
      </c>
      <c r="I99" t="s">
        <v>23</v>
      </c>
      <c r="J99">
        <v>24</v>
      </c>
    </row>
    <row r="100" spans="1:10" x14ac:dyDescent="0.25">
      <c r="A100" t="s">
        <v>122</v>
      </c>
      <c r="B100" t="s">
        <v>15</v>
      </c>
      <c r="C100" s="1">
        <v>45837</v>
      </c>
      <c r="D100">
        <v>18720</v>
      </c>
      <c r="E100">
        <v>685</v>
      </c>
      <c r="F100">
        <v>0.4</v>
      </c>
      <c r="G100">
        <v>0</v>
      </c>
      <c r="H100" t="s">
        <v>41</v>
      </c>
      <c r="I100" t="s">
        <v>13</v>
      </c>
      <c r="J100">
        <v>14</v>
      </c>
    </row>
    <row r="101" spans="1:10" x14ac:dyDescent="0.25">
      <c r="A101" t="s">
        <v>123</v>
      </c>
      <c r="B101" t="s">
        <v>21</v>
      </c>
      <c r="C101" s="1">
        <v>45753</v>
      </c>
      <c r="D101">
        <v>37093</v>
      </c>
      <c r="E101">
        <v>487</v>
      </c>
      <c r="F101">
        <v>0.64</v>
      </c>
      <c r="G101">
        <v>4</v>
      </c>
      <c r="H101" t="s">
        <v>12</v>
      </c>
      <c r="I101" t="s">
        <v>89</v>
      </c>
      <c r="J101">
        <v>17</v>
      </c>
    </row>
    <row r="102" spans="1:10" x14ac:dyDescent="0.25">
      <c r="A102" t="s">
        <v>124</v>
      </c>
      <c r="B102" t="s">
        <v>15</v>
      </c>
      <c r="C102" s="1">
        <v>45973</v>
      </c>
      <c r="D102">
        <v>59110</v>
      </c>
      <c r="E102">
        <v>694</v>
      </c>
      <c r="F102">
        <v>0.24</v>
      </c>
      <c r="G102">
        <v>5</v>
      </c>
      <c r="H102" t="s">
        <v>27</v>
      </c>
      <c r="I102" t="s">
        <v>17</v>
      </c>
      <c r="J102">
        <v>9</v>
      </c>
    </row>
    <row r="103" spans="1:10" x14ac:dyDescent="0.25">
      <c r="A103" t="s">
        <v>125</v>
      </c>
      <c r="B103" t="s">
        <v>15</v>
      </c>
      <c r="C103" s="1">
        <v>45740</v>
      </c>
      <c r="D103">
        <v>125525</v>
      </c>
      <c r="E103">
        <v>750</v>
      </c>
      <c r="F103">
        <v>0.3</v>
      </c>
      <c r="G103">
        <v>2</v>
      </c>
      <c r="H103" t="s">
        <v>12</v>
      </c>
      <c r="I103" t="s">
        <v>23</v>
      </c>
      <c r="J103">
        <v>17</v>
      </c>
    </row>
    <row r="104" spans="1:10" x14ac:dyDescent="0.25">
      <c r="A104" t="s">
        <v>126</v>
      </c>
      <c r="B104" t="s">
        <v>15</v>
      </c>
      <c r="C104" s="1">
        <v>45342</v>
      </c>
      <c r="D104">
        <v>97449</v>
      </c>
      <c r="E104">
        <v>538</v>
      </c>
      <c r="F104">
        <v>0.18</v>
      </c>
      <c r="G104">
        <v>0</v>
      </c>
      <c r="H104" t="s">
        <v>12</v>
      </c>
      <c r="I104" t="s">
        <v>13</v>
      </c>
      <c r="J104">
        <v>30</v>
      </c>
    </row>
    <row r="105" spans="1:10" x14ac:dyDescent="0.25">
      <c r="A105" t="s">
        <v>127</v>
      </c>
      <c r="B105" t="s">
        <v>43</v>
      </c>
      <c r="C105" s="1">
        <v>45620</v>
      </c>
      <c r="D105">
        <v>96334</v>
      </c>
      <c r="E105">
        <v>517</v>
      </c>
      <c r="F105">
        <v>0.39</v>
      </c>
      <c r="G105">
        <v>4</v>
      </c>
      <c r="H105" t="s">
        <v>19</v>
      </c>
      <c r="I105" t="s">
        <v>23</v>
      </c>
      <c r="J105">
        <v>21</v>
      </c>
    </row>
    <row r="106" spans="1:10" x14ac:dyDescent="0.25">
      <c r="A106" t="s">
        <v>128</v>
      </c>
      <c r="B106" t="s">
        <v>21</v>
      </c>
      <c r="C106" s="1">
        <v>45790</v>
      </c>
      <c r="D106">
        <v>32027</v>
      </c>
      <c r="E106">
        <v>622</v>
      </c>
      <c r="F106">
        <v>0.36</v>
      </c>
      <c r="G106">
        <v>0</v>
      </c>
      <c r="H106" t="s">
        <v>22</v>
      </c>
      <c r="I106" t="s">
        <v>13</v>
      </c>
      <c r="J106">
        <v>15</v>
      </c>
    </row>
    <row r="107" spans="1:10" x14ac:dyDescent="0.25">
      <c r="A107" t="s">
        <v>129</v>
      </c>
      <c r="B107" t="s">
        <v>15</v>
      </c>
      <c r="C107" s="1">
        <v>45499</v>
      </c>
      <c r="D107">
        <v>99681</v>
      </c>
      <c r="E107">
        <v>648</v>
      </c>
      <c r="F107">
        <v>0.18</v>
      </c>
      <c r="G107">
        <v>0</v>
      </c>
      <c r="H107" t="s">
        <v>22</v>
      </c>
      <c r="I107" t="s">
        <v>13</v>
      </c>
      <c r="J107">
        <v>25</v>
      </c>
    </row>
    <row r="108" spans="1:10" x14ac:dyDescent="0.25">
      <c r="A108" t="s">
        <v>130</v>
      </c>
      <c r="B108" t="s">
        <v>15</v>
      </c>
      <c r="C108" s="1">
        <v>45744</v>
      </c>
      <c r="D108">
        <v>126207</v>
      </c>
      <c r="E108">
        <v>711</v>
      </c>
      <c r="F108">
        <v>0.37</v>
      </c>
      <c r="G108">
        <v>0</v>
      </c>
      <c r="H108" t="s">
        <v>22</v>
      </c>
      <c r="I108" t="s">
        <v>23</v>
      </c>
      <c r="J108">
        <v>17</v>
      </c>
    </row>
    <row r="109" spans="1:10" x14ac:dyDescent="0.25">
      <c r="A109" t="s">
        <v>131</v>
      </c>
      <c r="B109" t="s">
        <v>15</v>
      </c>
      <c r="C109" s="1">
        <v>45539</v>
      </c>
      <c r="D109">
        <v>51594</v>
      </c>
      <c r="E109">
        <v>498</v>
      </c>
      <c r="F109">
        <v>0.19</v>
      </c>
      <c r="G109">
        <v>0</v>
      </c>
      <c r="H109" t="s">
        <v>22</v>
      </c>
      <c r="I109" t="s">
        <v>13</v>
      </c>
      <c r="J109">
        <v>24</v>
      </c>
    </row>
    <row r="110" spans="1:10" x14ac:dyDescent="0.25">
      <c r="A110" t="s">
        <v>132</v>
      </c>
      <c r="B110" t="s">
        <v>15</v>
      </c>
      <c r="C110" s="1">
        <v>45945</v>
      </c>
      <c r="D110">
        <v>87794</v>
      </c>
      <c r="E110">
        <v>777</v>
      </c>
      <c r="F110">
        <v>0.24</v>
      </c>
      <c r="G110">
        <v>6</v>
      </c>
      <c r="H110" t="s">
        <v>16</v>
      </c>
      <c r="I110" t="s">
        <v>23</v>
      </c>
      <c r="J110">
        <v>10</v>
      </c>
    </row>
    <row r="111" spans="1:10" x14ac:dyDescent="0.25">
      <c r="A111" t="s">
        <v>133</v>
      </c>
      <c r="B111" t="s">
        <v>11</v>
      </c>
      <c r="C111" s="1">
        <v>45764</v>
      </c>
      <c r="D111">
        <v>68556</v>
      </c>
      <c r="E111">
        <v>515</v>
      </c>
      <c r="F111">
        <v>0.49</v>
      </c>
      <c r="G111">
        <v>0</v>
      </c>
      <c r="H111" t="s">
        <v>22</v>
      </c>
      <c r="I111" t="s">
        <v>13</v>
      </c>
      <c r="J111">
        <v>16</v>
      </c>
    </row>
    <row r="112" spans="1:10" x14ac:dyDescent="0.25">
      <c r="A112" t="s">
        <v>134</v>
      </c>
      <c r="B112" t="s">
        <v>15</v>
      </c>
      <c r="C112" s="1">
        <v>45653</v>
      </c>
      <c r="D112">
        <v>73917</v>
      </c>
      <c r="E112">
        <v>670</v>
      </c>
      <c r="F112">
        <v>0.32</v>
      </c>
      <c r="G112">
        <v>0</v>
      </c>
      <c r="H112" t="s">
        <v>16</v>
      </c>
      <c r="I112" t="s">
        <v>13</v>
      </c>
      <c r="J112">
        <v>20</v>
      </c>
    </row>
    <row r="113" spans="1:10" x14ac:dyDescent="0.25">
      <c r="A113" t="s">
        <v>135</v>
      </c>
      <c r="B113" t="s">
        <v>11</v>
      </c>
      <c r="C113" s="1">
        <v>45513</v>
      </c>
      <c r="D113">
        <v>33835</v>
      </c>
      <c r="E113">
        <v>461</v>
      </c>
      <c r="F113">
        <v>0.57999999999999996</v>
      </c>
      <c r="G113">
        <v>3</v>
      </c>
      <c r="H113" t="s">
        <v>19</v>
      </c>
      <c r="I113" t="s">
        <v>89</v>
      </c>
      <c r="J113">
        <v>25</v>
      </c>
    </row>
    <row r="114" spans="1:10" x14ac:dyDescent="0.25">
      <c r="A114" t="s">
        <v>136</v>
      </c>
      <c r="B114" t="s">
        <v>15</v>
      </c>
      <c r="C114" s="1">
        <v>45791</v>
      </c>
      <c r="D114">
        <v>103385</v>
      </c>
      <c r="E114">
        <v>768</v>
      </c>
      <c r="F114">
        <v>0.57999999999999996</v>
      </c>
      <c r="G114">
        <v>0</v>
      </c>
      <c r="H114" t="s">
        <v>41</v>
      </c>
      <c r="I114" t="s">
        <v>13</v>
      </c>
      <c r="J114">
        <v>15</v>
      </c>
    </row>
    <row r="115" spans="1:10" x14ac:dyDescent="0.25">
      <c r="A115" t="s">
        <v>137</v>
      </c>
      <c r="B115" t="s">
        <v>21</v>
      </c>
      <c r="C115" s="1">
        <v>45474</v>
      </c>
      <c r="D115">
        <v>55584</v>
      </c>
      <c r="E115">
        <v>571</v>
      </c>
      <c r="F115">
        <v>0.56000000000000005</v>
      </c>
      <c r="G115">
        <v>4</v>
      </c>
      <c r="H115" t="s">
        <v>16</v>
      </c>
      <c r="I115" t="s">
        <v>89</v>
      </c>
      <c r="J115">
        <v>26</v>
      </c>
    </row>
    <row r="116" spans="1:10" x14ac:dyDescent="0.25">
      <c r="A116" t="s">
        <v>138</v>
      </c>
      <c r="B116" t="s">
        <v>15</v>
      </c>
      <c r="C116" s="1">
        <v>45433</v>
      </c>
      <c r="D116">
        <v>86667</v>
      </c>
      <c r="E116">
        <v>521</v>
      </c>
      <c r="F116">
        <v>0.3</v>
      </c>
      <c r="G116">
        <v>0</v>
      </c>
      <c r="H116" t="s">
        <v>41</v>
      </c>
      <c r="I116" t="s">
        <v>13</v>
      </c>
      <c r="J116">
        <v>27</v>
      </c>
    </row>
    <row r="117" spans="1:10" x14ac:dyDescent="0.25">
      <c r="A117" t="s">
        <v>139</v>
      </c>
      <c r="B117" t="s">
        <v>21</v>
      </c>
      <c r="C117" s="1">
        <v>45375</v>
      </c>
      <c r="D117">
        <v>22908</v>
      </c>
      <c r="E117">
        <v>696</v>
      </c>
      <c r="F117">
        <v>0.3</v>
      </c>
      <c r="G117">
        <v>0</v>
      </c>
      <c r="H117" t="s">
        <v>27</v>
      </c>
      <c r="I117" t="s">
        <v>13</v>
      </c>
      <c r="J117">
        <v>29</v>
      </c>
    </row>
    <row r="118" spans="1:10" x14ac:dyDescent="0.25">
      <c r="A118" t="s">
        <v>140</v>
      </c>
      <c r="B118" t="s">
        <v>21</v>
      </c>
      <c r="C118" s="1">
        <v>45520</v>
      </c>
      <c r="D118">
        <v>31750</v>
      </c>
      <c r="E118">
        <v>820</v>
      </c>
      <c r="F118">
        <v>0.18</v>
      </c>
      <c r="G118">
        <v>1</v>
      </c>
      <c r="H118" t="s">
        <v>12</v>
      </c>
      <c r="I118" t="s">
        <v>23</v>
      </c>
      <c r="J118">
        <v>24</v>
      </c>
    </row>
    <row r="119" spans="1:10" x14ac:dyDescent="0.25">
      <c r="A119" t="s">
        <v>141</v>
      </c>
      <c r="B119" t="s">
        <v>15</v>
      </c>
      <c r="C119" s="1">
        <v>45597</v>
      </c>
      <c r="D119">
        <v>98190</v>
      </c>
      <c r="E119">
        <v>502</v>
      </c>
      <c r="F119">
        <v>0.24</v>
      </c>
      <c r="G119">
        <v>0</v>
      </c>
      <c r="H119" t="s">
        <v>12</v>
      </c>
      <c r="I119" t="s">
        <v>13</v>
      </c>
      <c r="J119">
        <v>22</v>
      </c>
    </row>
    <row r="120" spans="1:10" x14ac:dyDescent="0.25">
      <c r="A120" t="s">
        <v>142</v>
      </c>
      <c r="B120" t="s">
        <v>21</v>
      </c>
      <c r="C120" s="1">
        <v>45331</v>
      </c>
      <c r="D120">
        <v>65794</v>
      </c>
      <c r="E120">
        <v>478</v>
      </c>
      <c r="F120">
        <v>0.28999999999999998</v>
      </c>
      <c r="G120">
        <v>1</v>
      </c>
      <c r="H120" t="s">
        <v>16</v>
      </c>
      <c r="I120" t="s">
        <v>17</v>
      </c>
      <c r="J120">
        <v>31</v>
      </c>
    </row>
    <row r="121" spans="1:10" x14ac:dyDescent="0.25">
      <c r="A121" t="s">
        <v>143</v>
      </c>
      <c r="B121" t="s">
        <v>11</v>
      </c>
      <c r="C121" s="1">
        <v>45986</v>
      </c>
      <c r="D121">
        <v>65334</v>
      </c>
      <c r="E121">
        <v>679</v>
      </c>
      <c r="F121">
        <v>0.41</v>
      </c>
      <c r="G121">
        <v>0</v>
      </c>
      <c r="H121" t="s">
        <v>12</v>
      </c>
      <c r="I121" t="s">
        <v>13</v>
      </c>
      <c r="J121">
        <v>9</v>
      </c>
    </row>
    <row r="122" spans="1:10" x14ac:dyDescent="0.25">
      <c r="A122" t="s">
        <v>144</v>
      </c>
      <c r="B122" t="s">
        <v>15</v>
      </c>
      <c r="C122" s="1">
        <v>45790</v>
      </c>
      <c r="D122">
        <v>76434</v>
      </c>
      <c r="E122">
        <v>586</v>
      </c>
      <c r="F122">
        <v>0.47</v>
      </c>
      <c r="G122">
        <v>6</v>
      </c>
      <c r="H122" t="s">
        <v>27</v>
      </c>
      <c r="I122" t="s">
        <v>17</v>
      </c>
      <c r="J122">
        <v>15</v>
      </c>
    </row>
    <row r="123" spans="1:10" x14ac:dyDescent="0.25">
      <c r="A123" t="s">
        <v>145</v>
      </c>
      <c r="B123" t="s">
        <v>15</v>
      </c>
      <c r="C123" s="1">
        <v>45718</v>
      </c>
      <c r="D123">
        <v>41450</v>
      </c>
      <c r="E123">
        <v>578</v>
      </c>
      <c r="F123">
        <v>0.62</v>
      </c>
      <c r="G123">
        <v>4</v>
      </c>
      <c r="H123" t="s">
        <v>12</v>
      </c>
      <c r="I123" t="s">
        <v>89</v>
      </c>
      <c r="J123">
        <v>18</v>
      </c>
    </row>
    <row r="124" spans="1:10" x14ac:dyDescent="0.25">
      <c r="A124" t="s">
        <v>146</v>
      </c>
      <c r="B124" t="s">
        <v>43</v>
      </c>
      <c r="C124" s="1">
        <v>45418</v>
      </c>
      <c r="D124">
        <v>106328</v>
      </c>
      <c r="E124">
        <v>839</v>
      </c>
      <c r="F124">
        <v>0.43</v>
      </c>
      <c r="G124">
        <v>6</v>
      </c>
      <c r="H124" t="s">
        <v>12</v>
      </c>
      <c r="I124" t="s">
        <v>17</v>
      </c>
      <c r="J124">
        <v>28</v>
      </c>
    </row>
    <row r="125" spans="1:10" x14ac:dyDescent="0.25">
      <c r="A125" t="s">
        <v>147</v>
      </c>
      <c r="B125" t="s">
        <v>15</v>
      </c>
      <c r="C125" s="1">
        <v>45673</v>
      </c>
      <c r="D125">
        <v>126209</v>
      </c>
      <c r="E125">
        <v>703</v>
      </c>
      <c r="F125">
        <v>0.56000000000000005</v>
      </c>
      <c r="G125">
        <v>0</v>
      </c>
      <c r="H125" t="s">
        <v>27</v>
      </c>
      <c r="I125" t="s">
        <v>23</v>
      </c>
      <c r="J125">
        <v>19</v>
      </c>
    </row>
    <row r="126" spans="1:10" x14ac:dyDescent="0.25">
      <c r="A126" t="s">
        <v>148</v>
      </c>
      <c r="B126" t="s">
        <v>15</v>
      </c>
      <c r="C126" s="1">
        <v>45781</v>
      </c>
      <c r="D126">
        <v>46808</v>
      </c>
      <c r="E126">
        <v>655</v>
      </c>
      <c r="F126">
        <v>0.26</v>
      </c>
      <c r="G126">
        <v>5</v>
      </c>
      <c r="H126" t="s">
        <v>41</v>
      </c>
      <c r="I126" t="s">
        <v>23</v>
      </c>
      <c r="J126">
        <v>16</v>
      </c>
    </row>
    <row r="127" spans="1:10" x14ac:dyDescent="0.25">
      <c r="A127" t="s">
        <v>149</v>
      </c>
      <c r="B127" t="s">
        <v>43</v>
      </c>
      <c r="C127" s="1">
        <v>45760</v>
      </c>
      <c r="D127">
        <v>92730</v>
      </c>
      <c r="E127">
        <v>832</v>
      </c>
      <c r="F127">
        <v>0.62</v>
      </c>
      <c r="G127">
        <v>0</v>
      </c>
      <c r="H127" t="s">
        <v>12</v>
      </c>
      <c r="I127" t="s">
        <v>13</v>
      </c>
      <c r="J127">
        <v>16</v>
      </c>
    </row>
    <row r="128" spans="1:10" x14ac:dyDescent="0.25">
      <c r="A128" t="s">
        <v>150</v>
      </c>
      <c r="B128" t="s">
        <v>15</v>
      </c>
      <c r="C128" s="1">
        <v>45407</v>
      </c>
      <c r="D128">
        <v>146042</v>
      </c>
      <c r="E128">
        <v>533</v>
      </c>
      <c r="F128">
        <v>0.36</v>
      </c>
      <c r="G128">
        <v>0</v>
      </c>
      <c r="H128" t="s">
        <v>12</v>
      </c>
      <c r="I128" t="s">
        <v>13</v>
      </c>
      <c r="J128">
        <v>28</v>
      </c>
    </row>
    <row r="129" spans="1:10" x14ac:dyDescent="0.25">
      <c r="A129" t="s">
        <v>151</v>
      </c>
      <c r="B129" t="s">
        <v>11</v>
      </c>
      <c r="C129" s="1">
        <v>45878</v>
      </c>
      <c r="D129">
        <v>26193</v>
      </c>
      <c r="E129">
        <v>682</v>
      </c>
      <c r="F129">
        <v>0.23</v>
      </c>
      <c r="G129">
        <v>0</v>
      </c>
      <c r="H129" t="s">
        <v>19</v>
      </c>
      <c r="I129" t="s">
        <v>13</v>
      </c>
      <c r="J129">
        <v>13</v>
      </c>
    </row>
    <row r="130" spans="1:10" x14ac:dyDescent="0.25">
      <c r="A130" t="s">
        <v>152</v>
      </c>
      <c r="B130" t="s">
        <v>11</v>
      </c>
      <c r="C130" s="1">
        <v>45948</v>
      </c>
      <c r="D130">
        <v>38433</v>
      </c>
      <c r="E130">
        <v>549</v>
      </c>
      <c r="F130">
        <v>0.24</v>
      </c>
      <c r="G130">
        <v>0</v>
      </c>
      <c r="H130" t="s">
        <v>41</v>
      </c>
      <c r="I130" t="s">
        <v>17</v>
      </c>
      <c r="J130">
        <v>10</v>
      </c>
    </row>
    <row r="131" spans="1:10" x14ac:dyDescent="0.25">
      <c r="A131" t="s">
        <v>153</v>
      </c>
      <c r="B131" t="s">
        <v>11</v>
      </c>
      <c r="C131" s="1">
        <v>45756</v>
      </c>
      <c r="D131">
        <v>130282</v>
      </c>
      <c r="E131">
        <v>491</v>
      </c>
      <c r="F131">
        <v>0.56999999999999995</v>
      </c>
      <c r="G131">
        <v>3</v>
      </c>
      <c r="H131" t="s">
        <v>41</v>
      </c>
      <c r="I131" t="s">
        <v>89</v>
      </c>
      <c r="J131">
        <v>17</v>
      </c>
    </row>
    <row r="132" spans="1:10" x14ac:dyDescent="0.25">
      <c r="A132" t="s">
        <v>154</v>
      </c>
      <c r="B132" t="s">
        <v>43</v>
      </c>
      <c r="C132" s="1">
        <v>45958</v>
      </c>
      <c r="D132">
        <v>57007</v>
      </c>
      <c r="E132">
        <v>745</v>
      </c>
      <c r="F132">
        <v>0.6</v>
      </c>
      <c r="G132">
        <v>0</v>
      </c>
      <c r="H132" t="s">
        <v>19</v>
      </c>
      <c r="I132" t="s">
        <v>13</v>
      </c>
      <c r="J132">
        <v>10</v>
      </c>
    </row>
    <row r="133" spans="1:10" x14ac:dyDescent="0.25">
      <c r="A133" t="s">
        <v>155</v>
      </c>
      <c r="B133" t="s">
        <v>43</v>
      </c>
      <c r="C133" s="1">
        <v>45911</v>
      </c>
      <c r="D133">
        <v>137526</v>
      </c>
      <c r="E133">
        <v>740</v>
      </c>
      <c r="F133">
        <v>0.17</v>
      </c>
      <c r="G133">
        <v>3</v>
      </c>
      <c r="H133" t="s">
        <v>19</v>
      </c>
      <c r="I133" t="s">
        <v>17</v>
      </c>
      <c r="J133">
        <v>11</v>
      </c>
    </row>
    <row r="134" spans="1:10" x14ac:dyDescent="0.25">
      <c r="A134" t="s">
        <v>156</v>
      </c>
      <c r="B134" t="s">
        <v>11</v>
      </c>
      <c r="C134" s="1">
        <v>45718</v>
      </c>
      <c r="D134">
        <v>118372</v>
      </c>
      <c r="E134">
        <v>516</v>
      </c>
      <c r="F134">
        <v>0.63</v>
      </c>
      <c r="G134">
        <v>0</v>
      </c>
      <c r="H134" t="s">
        <v>41</v>
      </c>
      <c r="I134" t="s">
        <v>13</v>
      </c>
      <c r="J134">
        <v>18</v>
      </c>
    </row>
    <row r="135" spans="1:10" x14ac:dyDescent="0.25">
      <c r="A135" t="s">
        <v>157</v>
      </c>
      <c r="B135" t="s">
        <v>43</v>
      </c>
      <c r="C135" s="1">
        <v>45956</v>
      </c>
      <c r="D135">
        <v>112202</v>
      </c>
      <c r="E135">
        <v>585</v>
      </c>
      <c r="F135">
        <v>0.22</v>
      </c>
      <c r="G135">
        <v>0</v>
      </c>
      <c r="H135" t="s">
        <v>27</v>
      </c>
      <c r="I135" t="s">
        <v>13</v>
      </c>
      <c r="J135">
        <v>10</v>
      </c>
    </row>
    <row r="136" spans="1:10" x14ac:dyDescent="0.25">
      <c r="A136" t="s">
        <v>158</v>
      </c>
      <c r="B136" t="s">
        <v>21</v>
      </c>
      <c r="C136" s="1">
        <v>45874</v>
      </c>
      <c r="D136">
        <v>108340</v>
      </c>
      <c r="E136">
        <v>588</v>
      </c>
      <c r="F136">
        <v>0.57999999999999996</v>
      </c>
      <c r="G136">
        <v>5</v>
      </c>
      <c r="H136" t="s">
        <v>19</v>
      </c>
      <c r="I136" t="s">
        <v>17</v>
      </c>
      <c r="J136">
        <v>13</v>
      </c>
    </row>
    <row r="137" spans="1:10" x14ac:dyDescent="0.25">
      <c r="A137" t="s">
        <v>159</v>
      </c>
      <c r="B137" t="s">
        <v>15</v>
      </c>
      <c r="C137" s="1">
        <v>45601</v>
      </c>
      <c r="D137">
        <v>83726</v>
      </c>
      <c r="E137">
        <v>633</v>
      </c>
      <c r="F137">
        <v>0.47</v>
      </c>
      <c r="G137">
        <v>0</v>
      </c>
      <c r="H137" t="s">
        <v>41</v>
      </c>
      <c r="I137" t="s">
        <v>13</v>
      </c>
      <c r="J137">
        <v>22</v>
      </c>
    </row>
    <row r="138" spans="1:10" x14ac:dyDescent="0.25">
      <c r="A138" t="s">
        <v>160</v>
      </c>
      <c r="B138" t="s">
        <v>11</v>
      </c>
      <c r="C138" s="1">
        <v>45433</v>
      </c>
      <c r="D138">
        <v>65955</v>
      </c>
      <c r="E138">
        <v>506</v>
      </c>
      <c r="F138">
        <v>0.52</v>
      </c>
      <c r="G138">
        <v>5</v>
      </c>
      <c r="H138" t="s">
        <v>16</v>
      </c>
      <c r="I138" t="s">
        <v>89</v>
      </c>
      <c r="J138">
        <v>27</v>
      </c>
    </row>
    <row r="139" spans="1:10" x14ac:dyDescent="0.25">
      <c r="A139" t="s">
        <v>161</v>
      </c>
      <c r="B139" t="s">
        <v>21</v>
      </c>
      <c r="C139" s="1">
        <v>45772</v>
      </c>
      <c r="D139">
        <v>44916</v>
      </c>
      <c r="E139">
        <v>481</v>
      </c>
      <c r="F139">
        <v>0.35</v>
      </c>
      <c r="G139">
        <v>0</v>
      </c>
      <c r="H139" t="s">
        <v>27</v>
      </c>
      <c r="I139" t="s">
        <v>13</v>
      </c>
      <c r="J139">
        <v>16</v>
      </c>
    </row>
    <row r="140" spans="1:10" x14ac:dyDescent="0.25">
      <c r="A140" t="s">
        <v>162</v>
      </c>
      <c r="B140" t="s">
        <v>15</v>
      </c>
      <c r="C140" s="1">
        <v>45639</v>
      </c>
      <c r="D140">
        <v>22907</v>
      </c>
      <c r="E140">
        <v>599</v>
      </c>
      <c r="F140">
        <v>0.51</v>
      </c>
      <c r="G140">
        <v>3</v>
      </c>
      <c r="H140" t="s">
        <v>16</v>
      </c>
      <c r="I140" t="s">
        <v>17</v>
      </c>
      <c r="J140">
        <v>20</v>
      </c>
    </row>
    <row r="141" spans="1:10" x14ac:dyDescent="0.25">
      <c r="A141" t="s">
        <v>163</v>
      </c>
      <c r="B141" t="s">
        <v>15</v>
      </c>
      <c r="C141" s="1">
        <v>45576</v>
      </c>
      <c r="D141">
        <v>117491</v>
      </c>
      <c r="E141">
        <v>775</v>
      </c>
      <c r="F141">
        <v>0.41</v>
      </c>
      <c r="G141">
        <v>5</v>
      </c>
      <c r="H141" t="s">
        <v>19</v>
      </c>
      <c r="I141" t="s">
        <v>17</v>
      </c>
      <c r="J141">
        <v>22</v>
      </c>
    </row>
    <row r="142" spans="1:10" x14ac:dyDescent="0.25">
      <c r="A142" t="s">
        <v>164</v>
      </c>
      <c r="B142" t="s">
        <v>11</v>
      </c>
      <c r="C142" s="1">
        <v>45467</v>
      </c>
      <c r="D142">
        <v>103909</v>
      </c>
      <c r="E142">
        <v>524</v>
      </c>
      <c r="F142">
        <v>0.33</v>
      </c>
      <c r="G142">
        <v>4</v>
      </c>
      <c r="H142" t="s">
        <v>19</v>
      </c>
      <c r="I142" t="s">
        <v>17</v>
      </c>
      <c r="J142">
        <v>26</v>
      </c>
    </row>
    <row r="143" spans="1:10" x14ac:dyDescent="0.25">
      <c r="A143" t="s">
        <v>165</v>
      </c>
      <c r="B143" t="s">
        <v>11</v>
      </c>
      <c r="C143" s="1">
        <v>45538</v>
      </c>
      <c r="D143">
        <v>47517</v>
      </c>
      <c r="E143">
        <v>623</v>
      </c>
      <c r="F143">
        <v>0.41</v>
      </c>
      <c r="G143">
        <v>5</v>
      </c>
      <c r="H143" t="s">
        <v>27</v>
      </c>
      <c r="I143" t="s">
        <v>17</v>
      </c>
      <c r="J143">
        <v>24</v>
      </c>
    </row>
    <row r="144" spans="1:10" x14ac:dyDescent="0.25">
      <c r="A144" t="s">
        <v>166</v>
      </c>
      <c r="B144" t="s">
        <v>11</v>
      </c>
      <c r="C144" s="1">
        <v>45578</v>
      </c>
      <c r="D144">
        <v>109867</v>
      </c>
      <c r="E144">
        <v>610</v>
      </c>
      <c r="F144">
        <v>0.42</v>
      </c>
      <c r="G144">
        <v>0</v>
      </c>
      <c r="H144" t="s">
        <v>27</v>
      </c>
      <c r="I144" t="s">
        <v>13</v>
      </c>
      <c r="J144">
        <v>22</v>
      </c>
    </row>
    <row r="145" spans="1:10" x14ac:dyDescent="0.25">
      <c r="A145" t="s">
        <v>167</v>
      </c>
      <c r="B145" t="s">
        <v>21</v>
      </c>
      <c r="C145" s="1">
        <v>45861</v>
      </c>
      <c r="D145">
        <v>125747</v>
      </c>
      <c r="E145">
        <v>630</v>
      </c>
      <c r="F145">
        <v>0.61</v>
      </c>
      <c r="G145">
        <v>0</v>
      </c>
      <c r="H145" t="s">
        <v>12</v>
      </c>
      <c r="I145" t="s">
        <v>13</v>
      </c>
      <c r="J145">
        <v>13</v>
      </c>
    </row>
    <row r="146" spans="1:10" x14ac:dyDescent="0.25">
      <c r="A146" t="s">
        <v>168</v>
      </c>
      <c r="B146" t="s">
        <v>15</v>
      </c>
      <c r="C146" s="1">
        <v>45815</v>
      </c>
      <c r="D146">
        <v>32903</v>
      </c>
      <c r="E146">
        <v>615</v>
      </c>
      <c r="F146">
        <v>0.23</v>
      </c>
      <c r="G146">
        <v>0</v>
      </c>
      <c r="H146" t="s">
        <v>19</v>
      </c>
      <c r="I146" t="s">
        <v>13</v>
      </c>
      <c r="J146">
        <v>15</v>
      </c>
    </row>
    <row r="147" spans="1:10" x14ac:dyDescent="0.25">
      <c r="A147" t="s">
        <v>169</v>
      </c>
      <c r="B147" t="s">
        <v>15</v>
      </c>
      <c r="C147" s="1">
        <v>45429</v>
      </c>
      <c r="D147">
        <v>96705</v>
      </c>
      <c r="E147">
        <v>837</v>
      </c>
      <c r="F147">
        <v>0.24</v>
      </c>
      <c r="G147">
        <v>4</v>
      </c>
      <c r="H147" t="s">
        <v>22</v>
      </c>
      <c r="I147" t="s">
        <v>23</v>
      </c>
      <c r="J147">
        <v>27</v>
      </c>
    </row>
    <row r="148" spans="1:10" x14ac:dyDescent="0.25">
      <c r="A148" t="s">
        <v>170</v>
      </c>
      <c r="B148" t="s">
        <v>21</v>
      </c>
      <c r="C148" s="1">
        <v>45988</v>
      </c>
      <c r="D148">
        <v>6474</v>
      </c>
      <c r="E148">
        <v>755</v>
      </c>
      <c r="F148">
        <v>0.63</v>
      </c>
      <c r="G148">
        <v>3</v>
      </c>
      <c r="H148" t="s">
        <v>12</v>
      </c>
      <c r="I148" t="s">
        <v>17</v>
      </c>
      <c r="J148">
        <v>9</v>
      </c>
    </row>
    <row r="149" spans="1:10" x14ac:dyDescent="0.25">
      <c r="A149" t="s">
        <v>171</v>
      </c>
      <c r="B149" t="s">
        <v>21</v>
      </c>
      <c r="C149" s="1">
        <v>45969</v>
      </c>
      <c r="D149">
        <v>102637</v>
      </c>
      <c r="E149">
        <v>737</v>
      </c>
      <c r="F149">
        <v>0.2</v>
      </c>
      <c r="G149">
        <v>4</v>
      </c>
      <c r="H149" t="s">
        <v>19</v>
      </c>
      <c r="I149" t="s">
        <v>23</v>
      </c>
      <c r="J149">
        <v>10</v>
      </c>
    </row>
    <row r="150" spans="1:10" x14ac:dyDescent="0.25">
      <c r="A150" t="s">
        <v>172</v>
      </c>
      <c r="B150" t="s">
        <v>15</v>
      </c>
      <c r="C150" s="1">
        <v>45496</v>
      </c>
      <c r="D150">
        <v>43012</v>
      </c>
      <c r="E150">
        <v>767</v>
      </c>
      <c r="F150">
        <v>0.57999999999999996</v>
      </c>
      <c r="G150">
        <v>4</v>
      </c>
      <c r="H150" t="s">
        <v>16</v>
      </c>
      <c r="I150" t="s">
        <v>17</v>
      </c>
      <c r="J150">
        <v>25</v>
      </c>
    </row>
    <row r="151" spans="1:10" x14ac:dyDescent="0.25">
      <c r="A151" t="s">
        <v>173</v>
      </c>
      <c r="B151" t="s">
        <v>15</v>
      </c>
      <c r="C151" s="1">
        <v>45342</v>
      </c>
      <c r="D151">
        <v>102186</v>
      </c>
      <c r="E151">
        <v>539</v>
      </c>
      <c r="F151">
        <v>0.16</v>
      </c>
      <c r="G151">
        <v>4</v>
      </c>
      <c r="H151" t="s">
        <v>12</v>
      </c>
      <c r="I151" t="s">
        <v>23</v>
      </c>
      <c r="J151">
        <v>30</v>
      </c>
    </row>
    <row r="152" spans="1:10" x14ac:dyDescent="0.25">
      <c r="A152" t="s">
        <v>174</v>
      </c>
      <c r="B152" t="s">
        <v>11</v>
      </c>
      <c r="C152" s="1">
        <v>45822</v>
      </c>
      <c r="D152">
        <v>77865</v>
      </c>
      <c r="E152">
        <v>779</v>
      </c>
      <c r="F152">
        <v>0.53</v>
      </c>
      <c r="G152">
        <v>0</v>
      </c>
      <c r="H152" t="s">
        <v>19</v>
      </c>
      <c r="I152" t="s">
        <v>13</v>
      </c>
      <c r="J152">
        <v>14</v>
      </c>
    </row>
    <row r="153" spans="1:10" x14ac:dyDescent="0.25">
      <c r="A153" t="s">
        <v>175</v>
      </c>
      <c r="B153" t="s">
        <v>21</v>
      </c>
      <c r="C153" s="1">
        <v>45625</v>
      </c>
      <c r="D153">
        <v>119329</v>
      </c>
      <c r="E153">
        <v>702</v>
      </c>
      <c r="F153">
        <v>0.28000000000000003</v>
      </c>
      <c r="G153">
        <v>3</v>
      </c>
      <c r="H153" t="s">
        <v>19</v>
      </c>
      <c r="I153" t="s">
        <v>23</v>
      </c>
      <c r="J153">
        <v>21</v>
      </c>
    </row>
    <row r="154" spans="1:10" x14ac:dyDescent="0.25">
      <c r="A154" t="s">
        <v>176</v>
      </c>
      <c r="B154" t="s">
        <v>11</v>
      </c>
      <c r="C154" s="1">
        <v>45469</v>
      </c>
      <c r="D154">
        <v>37902</v>
      </c>
      <c r="E154">
        <v>791</v>
      </c>
      <c r="F154">
        <v>0.44</v>
      </c>
      <c r="G154">
        <v>2</v>
      </c>
      <c r="H154" t="s">
        <v>41</v>
      </c>
      <c r="I154" t="s">
        <v>23</v>
      </c>
      <c r="J154">
        <v>26</v>
      </c>
    </row>
    <row r="155" spans="1:10" x14ac:dyDescent="0.25">
      <c r="A155" t="s">
        <v>177</v>
      </c>
      <c r="B155" t="s">
        <v>15</v>
      </c>
      <c r="C155" s="1">
        <v>45709</v>
      </c>
      <c r="D155">
        <v>87024</v>
      </c>
      <c r="E155">
        <v>832</v>
      </c>
      <c r="F155">
        <v>0.64</v>
      </c>
      <c r="G155">
        <v>0</v>
      </c>
      <c r="H155" t="s">
        <v>12</v>
      </c>
      <c r="I155" t="s">
        <v>13</v>
      </c>
      <c r="J155">
        <v>18</v>
      </c>
    </row>
    <row r="156" spans="1:10" x14ac:dyDescent="0.25">
      <c r="A156" t="s">
        <v>178</v>
      </c>
      <c r="B156" t="s">
        <v>11</v>
      </c>
      <c r="C156" s="1">
        <v>45650</v>
      </c>
      <c r="D156">
        <v>123286</v>
      </c>
      <c r="E156">
        <v>830</v>
      </c>
      <c r="F156">
        <v>0.5</v>
      </c>
      <c r="G156">
        <v>2</v>
      </c>
      <c r="H156" t="s">
        <v>19</v>
      </c>
      <c r="I156" t="s">
        <v>23</v>
      </c>
      <c r="J156">
        <v>20</v>
      </c>
    </row>
    <row r="157" spans="1:10" x14ac:dyDescent="0.25">
      <c r="A157" t="s">
        <v>179</v>
      </c>
      <c r="B157" t="s">
        <v>15</v>
      </c>
      <c r="C157" s="1">
        <v>45833</v>
      </c>
      <c r="D157">
        <v>137701</v>
      </c>
      <c r="E157">
        <v>700</v>
      </c>
      <c r="F157">
        <v>0.49</v>
      </c>
      <c r="G157">
        <v>0</v>
      </c>
      <c r="H157" t="s">
        <v>12</v>
      </c>
      <c r="I157" t="s">
        <v>13</v>
      </c>
      <c r="J157">
        <v>14</v>
      </c>
    </row>
    <row r="158" spans="1:10" x14ac:dyDescent="0.25">
      <c r="A158" t="s">
        <v>180</v>
      </c>
      <c r="B158" t="s">
        <v>43</v>
      </c>
      <c r="C158" s="1">
        <v>45840</v>
      </c>
      <c r="D158">
        <v>61309</v>
      </c>
      <c r="E158">
        <v>708</v>
      </c>
      <c r="F158">
        <v>0.28999999999999998</v>
      </c>
      <c r="G158">
        <v>0</v>
      </c>
      <c r="H158" t="s">
        <v>41</v>
      </c>
      <c r="I158" t="s">
        <v>13</v>
      </c>
      <c r="J158">
        <v>14</v>
      </c>
    </row>
    <row r="159" spans="1:10" x14ac:dyDescent="0.25">
      <c r="A159" t="s">
        <v>181</v>
      </c>
      <c r="B159" t="s">
        <v>21</v>
      </c>
      <c r="C159" s="1">
        <v>45768</v>
      </c>
      <c r="D159">
        <v>118064</v>
      </c>
      <c r="E159">
        <v>847</v>
      </c>
      <c r="F159">
        <v>0.53</v>
      </c>
      <c r="G159">
        <v>0</v>
      </c>
      <c r="H159" t="s">
        <v>16</v>
      </c>
      <c r="I159" t="s">
        <v>13</v>
      </c>
      <c r="J159">
        <v>16</v>
      </c>
    </row>
    <row r="160" spans="1:10" x14ac:dyDescent="0.25">
      <c r="A160" t="s">
        <v>182</v>
      </c>
      <c r="B160" t="s">
        <v>15</v>
      </c>
      <c r="C160" s="1">
        <v>45409</v>
      </c>
      <c r="D160">
        <v>43410</v>
      </c>
      <c r="E160">
        <v>785</v>
      </c>
      <c r="F160">
        <v>0.49</v>
      </c>
      <c r="G160">
        <v>0</v>
      </c>
      <c r="H160" t="s">
        <v>12</v>
      </c>
      <c r="I160" t="s">
        <v>13</v>
      </c>
      <c r="J160">
        <v>28</v>
      </c>
    </row>
    <row r="161" spans="1:10" x14ac:dyDescent="0.25">
      <c r="A161" t="s">
        <v>183</v>
      </c>
      <c r="B161" t="s">
        <v>43</v>
      </c>
      <c r="C161" s="1">
        <v>45553</v>
      </c>
      <c r="D161">
        <v>68484</v>
      </c>
      <c r="E161">
        <v>452</v>
      </c>
      <c r="F161">
        <v>0.49</v>
      </c>
      <c r="G161">
        <v>2</v>
      </c>
      <c r="H161" t="s">
        <v>16</v>
      </c>
      <c r="I161" t="s">
        <v>23</v>
      </c>
      <c r="J161">
        <v>23</v>
      </c>
    </row>
    <row r="162" spans="1:10" x14ac:dyDescent="0.25">
      <c r="A162" t="s">
        <v>184</v>
      </c>
      <c r="B162" t="s">
        <v>21</v>
      </c>
      <c r="C162" s="1">
        <v>45496</v>
      </c>
      <c r="D162">
        <v>55458</v>
      </c>
      <c r="E162">
        <v>697</v>
      </c>
      <c r="F162">
        <v>0.17</v>
      </c>
      <c r="G162">
        <v>0</v>
      </c>
      <c r="H162" t="s">
        <v>16</v>
      </c>
      <c r="I162" t="s">
        <v>13</v>
      </c>
      <c r="J162">
        <v>25</v>
      </c>
    </row>
    <row r="163" spans="1:10" x14ac:dyDescent="0.25">
      <c r="A163" t="s">
        <v>185</v>
      </c>
      <c r="B163" t="s">
        <v>21</v>
      </c>
      <c r="C163" s="1">
        <v>45798</v>
      </c>
      <c r="D163">
        <v>12245</v>
      </c>
      <c r="E163">
        <v>658</v>
      </c>
      <c r="F163">
        <v>0.36</v>
      </c>
      <c r="G163">
        <v>0</v>
      </c>
      <c r="H163" t="s">
        <v>22</v>
      </c>
      <c r="I163" t="s">
        <v>13</v>
      </c>
      <c r="J163">
        <v>15</v>
      </c>
    </row>
    <row r="164" spans="1:10" x14ac:dyDescent="0.25">
      <c r="A164" t="s">
        <v>186</v>
      </c>
      <c r="B164" t="s">
        <v>11</v>
      </c>
      <c r="C164" s="1">
        <v>45705</v>
      </c>
      <c r="D164">
        <v>109825</v>
      </c>
      <c r="E164">
        <v>474</v>
      </c>
      <c r="F164">
        <v>0.46</v>
      </c>
      <c r="G164">
        <v>1</v>
      </c>
      <c r="H164" t="s">
        <v>19</v>
      </c>
      <c r="I164" t="s">
        <v>89</v>
      </c>
      <c r="J164">
        <v>18</v>
      </c>
    </row>
    <row r="165" spans="1:10" x14ac:dyDescent="0.25">
      <c r="A165" t="s">
        <v>187</v>
      </c>
      <c r="B165" t="s">
        <v>15</v>
      </c>
      <c r="C165" s="1">
        <v>45421</v>
      </c>
      <c r="D165">
        <v>29616</v>
      </c>
      <c r="E165">
        <v>564</v>
      </c>
      <c r="F165">
        <v>0.18</v>
      </c>
      <c r="G165">
        <v>3</v>
      </c>
      <c r="H165" t="s">
        <v>27</v>
      </c>
      <c r="I165" t="s">
        <v>23</v>
      </c>
      <c r="J165">
        <v>28</v>
      </c>
    </row>
    <row r="166" spans="1:10" x14ac:dyDescent="0.25">
      <c r="A166" t="s">
        <v>188</v>
      </c>
      <c r="B166" t="s">
        <v>21</v>
      </c>
      <c r="C166" s="1">
        <v>45552</v>
      </c>
      <c r="D166">
        <v>103904</v>
      </c>
      <c r="E166">
        <v>742</v>
      </c>
      <c r="F166">
        <v>0.27</v>
      </c>
      <c r="G166">
        <v>0</v>
      </c>
      <c r="H166" t="s">
        <v>19</v>
      </c>
      <c r="I166" t="s">
        <v>13</v>
      </c>
      <c r="J166">
        <v>23</v>
      </c>
    </row>
    <row r="167" spans="1:10" x14ac:dyDescent="0.25">
      <c r="A167" t="s">
        <v>189</v>
      </c>
      <c r="B167" t="s">
        <v>15</v>
      </c>
      <c r="C167" s="1">
        <v>45972</v>
      </c>
      <c r="D167">
        <v>54090</v>
      </c>
      <c r="E167">
        <v>823</v>
      </c>
      <c r="F167">
        <v>0.32</v>
      </c>
      <c r="G167">
        <v>1</v>
      </c>
      <c r="H167" t="s">
        <v>12</v>
      </c>
      <c r="I167" t="s">
        <v>23</v>
      </c>
      <c r="J167">
        <v>9</v>
      </c>
    </row>
    <row r="168" spans="1:10" x14ac:dyDescent="0.25">
      <c r="A168" t="s">
        <v>190</v>
      </c>
      <c r="B168" t="s">
        <v>21</v>
      </c>
      <c r="C168" s="1">
        <v>45826</v>
      </c>
      <c r="D168">
        <v>90056</v>
      </c>
      <c r="E168">
        <v>560</v>
      </c>
      <c r="F168">
        <v>0.55000000000000004</v>
      </c>
      <c r="G168">
        <v>0</v>
      </c>
      <c r="H168" t="s">
        <v>12</v>
      </c>
      <c r="I168" t="s">
        <v>13</v>
      </c>
      <c r="J168">
        <v>14</v>
      </c>
    </row>
    <row r="169" spans="1:10" x14ac:dyDescent="0.25">
      <c r="A169" t="s">
        <v>191</v>
      </c>
      <c r="B169" t="s">
        <v>11</v>
      </c>
      <c r="C169" s="1">
        <v>45982</v>
      </c>
      <c r="D169">
        <v>63856</v>
      </c>
      <c r="E169">
        <v>579</v>
      </c>
      <c r="F169">
        <v>0.48</v>
      </c>
      <c r="G169">
        <v>6</v>
      </c>
      <c r="H169" t="s">
        <v>22</v>
      </c>
      <c r="I169" t="s">
        <v>89</v>
      </c>
      <c r="J169">
        <v>9</v>
      </c>
    </row>
    <row r="170" spans="1:10" x14ac:dyDescent="0.25">
      <c r="A170" t="s">
        <v>192</v>
      </c>
      <c r="B170" t="s">
        <v>15</v>
      </c>
      <c r="C170" s="1">
        <v>45294</v>
      </c>
      <c r="D170">
        <v>148812</v>
      </c>
      <c r="E170">
        <v>764</v>
      </c>
      <c r="F170">
        <v>0.2</v>
      </c>
      <c r="G170">
        <v>6</v>
      </c>
      <c r="H170" t="s">
        <v>19</v>
      </c>
      <c r="I170" t="s">
        <v>17</v>
      </c>
      <c r="J170">
        <v>32</v>
      </c>
    </row>
    <row r="171" spans="1:10" x14ac:dyDescent="0.25">
      <c r="A171" t="s">
        <v>193</v>
      </c>
      <c r="B171" t="s">
        <v>21</v>
      </c>
      <c r="C171" s="1">
        <v>45907</v>
      </c>
      <c r="D171">
        <v>52644</v>
      </c>
      <c r="E171">
        <v>770</v>
      </c>
      <c r="F171">
        <v>0.46</v>
      </c>
      <c r="G171">
        <v>0</v>
      </c>
      <c r="H171" t="s">
        <v>16</v>
      </c>
      <c r="I171" t="s">
        <v>13</v>
      </c>
      <c r="J171">
        <v>12</v>
      </c>
    </row>
    <row r="172" spans="1:10" x14ac:dyDescent="0.25">
      <c r="A172" t="s">
        <v>194</v>
      </c>
      <c r="B172" t="s">
        <v>43</v>
      </c>
      <c r="C172" s="1">
        <v>45893</v>
      </c>
      <c r="D172">
        <v>5648</v>
      </c>
      <c r="E172">
        <v>572</v>
      </c>
      <c r="F172">
        <v>0.43</v>
      </c>
      <c r="G172">
        <v>1</v>
      </c>
      <c r="H172" t="s">
        <v>19</v>
      </c>
      <c r="I172" t="s">
        <v>23</v>
      </c>
      <c r="J172">
        <v>12</v>
      </c>
    </row>
    <row r="173" spans="1:10" x14ac:dyDescent="0.25">
      <c r="A173" t="s">
        <v>195</v>
      </c>
      <c r="B173" t="s">
        <v>21</v>
      </c>
      <c r="C173" s="1">
        <v>45887</v>
      </c>
      <c r="D173">
        <v>112653</v>
      </c>
      <c r="E173">
        <v>726</v>
      </c>
      <c r="F173">
        <v>0.47</v>
      </c>
      <c r="G173">
        <v>4</v>
      </c>
      <c r="H173" t="s">
        <v>22</v>
      </c>
      <c r="I173" t="s">
        <v>17</v>
      </c>
      <c r="J173">
        <v>12</v>
      </c>
    </row>
    <row r="174" spans="1:10" x14ac:dyDescent="0.25">
      <c r="A174" t="s">
        <v>196</v>
      </c>
      <c r="B174" t="s">
        <v>43</v>
      </c>
      <c r="C174" s="1">
        <v>45802</v>
      </c>
      <c r="D174">
        <v>83542</v>
      </c>
      <c r="E174">
        <v>694</v>
      </c>
      <c r="F174">
        <v>0.53</v>
      </c>
      <c r="G174">
        <v>0</v>
      </c>
      <c r="H174" t="s">
        <v>41</v>
      </c>
      <c r="I174" t="s">
        <v>13</v>
      </c>
      <c r="J174">
        <v>15</v>
      </c>
    </row>
    <row r="175" spans="1:10" x14ac:dyDescent="0.25">
      <c r="A175" t="s">
        <v>197</v>
      </c>
      <c r="B175" t="s">
        <v>21</v>
      </c>
      <c r="C175" s="1">
        <v>45511</v>
      </c>
      <c r="D175">
        <v>49619</v>
      </c>
      <c r="E175">
        <v>0</v>
      </c>
      <c r="F175">
        <v>0.16</v>
      </c>
      <c r="G175">
        <v>0</v>
      </c>
      <c r="H175" t="s">
        <v>41</v>
      </c>
      <c r="I175" t="s">
        <v>13</v>
      </c>
      <c r="J175">
        <v>25</v>
      </c>
    </row>
    <row r="176" spans="1:10" x14ac:dyDescent="0.25">
      <c r="A176" t="s">
        <v>198</v>
      </c>
      <c r="B176" t="s">
        <v>11</v>
      </c>
      <c r="C176" s="1">
        <v>45928</v>
      </c>
      <c r="D176">
        <v>100128</v>
      </c>
      <c r="E176">
        <v>822</v>
      </c>
      <c r="F176">
        <v>0.19</v>
      </c>
      <c r="G176">
        <v>0</v>
      </c>
      <c r="H176" t="s">
        <v>22</v>
      </c>
      <c r="I176" t="s">
        <v>13</v>
      </c>
      <c r="J176">
        <v>11</v>
      </c>
    </row>
    <row r="177" spans="1:10" x14ac:dyDescent="0.25">
      <c r="A177" t="s">
        <v>199</v>
      </c>
      <c r="B177" t="s">
        <v>21</v>
      </c>
      <c r="C177" s="1">
        <v>45614</v>
      </c>
      <c r="D177">
        <v>59107</v>
      </c>
      <c r="E177">
        <v>655</v>
      </c>
      <c r="F177">
        <v>0.52</v>
      </c>
      <c r="G177">
        <v>0</v>
      </c>
      <c r="H177" t="s">
        <v>19</v>
      </c>
      <c r="I177" t="s">
        <v>13</v>
      </c>
      <c r="J177">
        <v>21</v>
      </c>
    </row>
    <row r="178" spans="1:10" x14ac:dyDescent="0.25">
      <c r="A178" t="s">
        <v>200</v>
      </c>
      <c r="B178" t="s">
        <v>21</v>
      </c>
      <c r="C178" s="1">
        <v>45973</v>
      </c>
      <c r="D178">
        <v>68141</v>
      </c>
      <c r="E178">
        <v>457</v>
      </c>
      <c r="F178">
        <v>0.52</v>
      </c>
      <c r="G178">
        <v>3</v>
      </c>
      <c r="H178" t="s">
        <v>41</v>
      </c>
      <c r="I178" t="s">
        <v>89</v>
      </c>
      <c r="J178">
        <v>9</v>
      </c>
    </row>
    <row r="179" spans="1:10" x14ac:dyDescent="0.25">
      <c r="A179" t="s">
        <v>201</v>
      </c>
      <c r="B179" t="s">
        <v>21</v>
      </c>
      <c r="C179" s="1">
        <v>45311</v>
      </c>
      <c r="D179">
        <v>69564</v>
      </c>
      <c r="E179">
        <v>802</v>
      </c>
      <c r="F179">
        <v>0.26</v>
      </c>
      <c r="G179">
        <v>0</v>
      </c>
      <c r="H179" t="s">
        <v>12</v>
      </c>
      <c r="I179" t="s">
        <v>13</v>
      </c>
      <c r="J179">
        <v>31</v>
      </c>
    </row>
    <row r="180" spans="1:10" x14ac:dyDescent="0.25">
      <c r="A180" t="s">
        <v>202</v>
      </c>
      <c r="B180" t="s">
        <v>21</v>
      </c>
      <c r="C180" s="1">
        <v>45776</v>
      </c>
      <c r="D180">
        <v>85607</v>
      </c>
      <c r="E180">
        <v>532</v>
      </c>
      <c r="F180">
        <v>0.63</v>
      </c>
      <c r="G180">
        <v>0</v>
      </c>
      <c r="H180" t="s">
        <v>27</v>
      </c>
      <c r="I180" t="s">
        <v>23</v>
      </c>
      <c r="J180">
        <v>16</v>
      </c>
    </row>
    <row r="181" spans="1:10" x14ac:dyDescent="0.25">
      <c r="A181" t="s">
        <v>203</v>
      </c>
      <c r="B181" t="s">
        <v>43</v>
      </c>
      <c r="C181" s="1">
        <v>45923</v>
      </c>
      <c r="D181">
        <v>107752</v>
      </c>
      <c r="E181">
        <v>593</v>
      </c>
      <c r="F181">
        <v>0.18</v>
      </c>
      <c r="G181">
        <v>1</v>
      </c>
      <c r="H181" t="s">
        <v>12</v>
      </c>
      <c r="I181" t="s">
        <v>23</v>
      </c>
      <c r="J181">
        <v>11</v>
      </c>
    </row>
    <row r="182" spans="1:10" x14ac:dyDescent="0.25">
      <c r="A182" t="s">
        <v>204</v>
      </c>
      <c r="B182" t="s">
        <v>11</v>
      </c>
      <c r="C182" s="1">
        <v>45475</v>
      </c>
      <c r="D182">
        <v>124299</v>
      </c>
      <c r="E182">
        <v>607</v>
      </c>
      <c r="F182">
        <v>0.56000000000000005</v>
      </c>
      <c r="G182">
        <v>0</v>
      </c>
      <c r="H182" t="s">
        <v>22</v>
      </c>
      <c r="I182" t="s">
        <v>17</v>
      </c>
      <c r="J182">
        <v>26</v>
      </c>
    </row>
    <row r="183" spans="1:10" x14ac:dyDescent="0.25">
      <c r="A183" t="s">
        <v>205</v>
      </c>
      <c r="B183" t="s">
        <v>21</v>
      </c>
      <c r="C183" s="1">
        <v>45750</v>
      </c>
      <c r="D183">
        <v>29343</v>
      </c>
      <c r="E183">
        <v>740</v>
      </c>
      <c r="F183">
        <v>0.47</v>
      </c>
      <c r="G183">
        <v>3</v>
      </c>
      <c r="H183" t="s">
        <v>27</v>
      </c>
      <c r="I183" t="s">
        <v>23</v>
      </c>
      <c r="J183">
        <v>17</v>
      </c>
    </row>
    <row r="184" spans="1:10" x14ac:dyDescent="0.25">
      <c r="A184" t="s">
        <v>206</v>
      </c>
      <c r="B184" t="s">
        <v>11</v>
      </c>
      <c r="C184" s="1">
        <v>45577</v>
      </c>
      <c r="D184">
        <v>13870</v>
      </c>
      <c r="E184">
        <v>673</v>
      </c>
      <c r="F184">
        <v>0.64</v>
      </c>
      <c r="G184">
        <v>0</v>
      </c>
      <c r="H184" t="s">
        <v>12</v>
      </c>
      <c r="I184" t="s">
        <v>13</v>
      </c>
      <c r="J184">
        <v>22</v>
      </c>
    </row>
    <row r="185" spans="1:10" x14ac:dyDescent="0.25">
      <c r="A185" t="s">
        <v>207</v>
      </c>
      <c r="B185" t="s">
        <v>11</v>
      </c>
      <c r="C185" s="1">
        <v>45329</v>
      </c>
      <c r="D185">
        <v>119724</v>
      </c>
      <c r="E185">
        <v>797</v>
      </c>
      <c r="F185">
        <v>0.27</v>
      </c>
      <c r="G185">
        <v>0</v>
      </c>
      <c r="H185" t="s">
        <v>22</v>
      </c>
      <c r="I185" t="s">
        <v>13</v>
      </c>
      <c r="J185">
        <v>31</v>
      </c>
    </row>
    <row r="186" spans="1:10" x14ac:dyDescent="0.25">
      <c r="A186" t="s">
        <v>208</v>
      </c>
      <c r="B186" t="s">
        <v>21</v>
      </c>
      <c r="C186" s="1">
        <v>45303</v>
      </c>
      <c r="D186">
        <v>45578</v>
      </c>
      <c r="E186">
        <v>-1</v>
      </c>
      <c r="F186">
        <v>0.45</v>
      </c>
      <c r="G186">
        <v>0</v>
      </c>
      <c r="H186" t="s">
        <v>22</v>
      </c>
      <c r="I186" t="s">
        <v>13</v>
      </c>
      <c r="J186">
        <v>31</v>
      </c>
    </row>
    <row r="187" spans="1:10" x14ac:dyDescent="0.25">
      <c r="A187" t="s">
        <v>209</v>
      </c>
      <c r="B187" t="s">
        <v>21</v>
      </c>
      <c r="C187" s="1">
        <v>45652</v>
      </c>
      <c r="D187">
        <v>13851</v>
      </c>
      <c r="E187">
        <v>-1</v>
      </c>
      <c r="F187">
        <v>0.33</v>
      </c>
      <c r="G187">
        <v>0</v>
      </c>
      <c r="H187" t="s">
        <v>12</v>
      </c>
      <c r="I187" t="s">
        <v>13</v>
      </c>
      <c r="J187">
        <v>20</v>
      </c>
    </row>
    <row r="188" spans="1:10" x14ac:dyDescent="0.25">
      <c r="A188" t="s">
        <v>210</v>
      </c>
      <c r="B188" t="s">
        <v>11</v>
      </c>
      <c r="C188" s="1">
        <v>45310</v>
      </c>
      <c r="D188">
        <v>127269</v>
      </c>
      <c r="E188">
        <v>547</v>
      </c>
      <c r="F188">
        <v>0.54</v>
      </c>
      <c r="G188">
        <v>0</v>
      </c>
      <c r="H188" t="s">
        <v>19</v>
      </c>
      <c r="I188" t="s">
        <v>13</v>
      </c>
      <c r="J188">
        <v>31</v>
      </c>
    </row>
    <row r="189" spans="1:10" x14ac:dyDescent="0.25">
      <c r="A189" t="s">
        <v>211</v>
      </c>
      <c r="B189" t="s">
        <v>15</v>
      </c>
      <c r="C189" s="1">
        <v>45623</v>
      </c>
      <c r="D189">
        <v>30895</v>
      </c>
      <c r="E189">
        <v>-1</v>
      </c>
      <c r="F189">
        <v>0.53</v>
      </c>
      <c r="G189">
        <v>1</v>
      </c>
      <c r="H189" t="s">
        <v>41</v>
      </c>
      <c r="I189" t="s">
        <v>89</v>
      </c>
      <c r="J189">
        <v>21</v>
      </c>
    </row>
    <row r="190" spans="1:10" x14ac:dyDescent="0.25">
      <c r="A190" t="s">
        <v>212</v>
      </c>
      <c r="B190" t="s">
        <v>21</v>
      </c>
      <c r="C190" s="1">
        <v>45888</v>
      </c>
      <c r="D190">
        <v>49777</v>
      </c>
      <c r="E190">
        <v>622</v>
      </c>
      <c r="F190">
        <v>0.61</v>
      </c>
      <c r="G190">
        <v>0</v>
      </c>
      <c r="H190" t="s">
        <v>12</v>
      </c>
      <c r="I190" t="s">
        <v>13</v>
      </c>
      <c r="J190">
        <v>12</v>
      </c>
    </row>
    <row r="191" spans="1:10" x14ac:dyDescent="0.25">
      <c r="A191" t="s">
        <v>213</v>
      </c>
      <c r="B191" t="s">
        <v>15</v>
      </c>
      <c r="C191" s="1">
        <v>45528</v>
      </c>
      <c r="D191">
        <v>62889</v>
      </c>
      <c r="E191">
        <v>653</v>
      </c>
      <c r="F191">
        <v>0.42</v>
      </c>
      <c r="G191">
        <v>0</v>
      </c>
      <c r="H191" t="s">
        <v>12</v>
      </c>
      <c r="I191" t="s">
        <v>13</v>
      </c>
      <c r="J191">
        <v>24</v>
      </c>
    </row>
    <row r="192" spans="1:10" x14ac:dyDescent="0.25">
      <c r="A192" t="s">
        <v>214</v>
      </c>
      <c r="B192" t="s">
        <v>21</v>
      </c>
      <c r="C192" s="1">
        <v>45687</v>
      </c>
      <c r="D192">
        <v>127589</v>
      </c>
      <c r="E192">
        <v>754</v>
      </c>
      <c r="F192">
        <v>0.44</v>
      </c>
      <c r="G192">
        <v>0</v>
      </c>
      <c r="H192" t="s">
        <v>27</v>
      </c>
      <c r="I192" t="s">
        <v>13</v>
      </c>
      <c r="J192">
        <v>19</v>
      </c>
    </row>
    <row r="193" spans="1:10" x14ac:dyDescent="0.25">
      <c r="A193" t="s">
        <v>215</v>
      </c>
      <c r="B193" t="s">
        <v>21</v>
      </c>
      <c r="C193" s="1">
        <v>45922</v>
      </c>
      <c r="D193">
        <v>101693</v>
      </c>
      <c r="E193">
        <v>719</v>
      </c>
      <c r="F193">
        <v>0.42</v>
      </c>
      <c r="G193">
        <v>0</v>
      </c>
      <c r="H193" t="s">
        <v>19</v>
      </c>
      <c r="I193" t="s">
        <v>13</v>
      </c>
      <c r="J193">
        <v>11</v>
      </c>
    </row>
    <row r="194" spans="1:10" x14ac:dyDescent="0.25">
      <c r="A194" t="s">
        <v>216</v>
      </c>
      <c r="B194" t="s">
        <v>11</v>
      </c>
      <c r="C194" s="1">
        <v>45954</v>
      </c>
      <c r="D194">
        <v>36418</v>
      </c>
      <c r="E194">
        <v>665</v>
      </c>
      <c r="F194">
        <v>0.18</v>
      </c>
      <c r="G194">
        <v>4</v>
      </c>
      <c r="H194" t="s">
        <v>22</v>
      </c>
      <c r="I194" t="s">
        <v>17</v>
      </c>
      <c r="J194">
        <v>10</v>
      </c>
    </row>
    <row r="195" spans="1:10" x14ac:dyDescent="0.25">
      <c r="A195" t="s">
        <v>217</v>
      </c>
      <c r="B195" t="s">
        <v>21</v>
      </c>
      <c r="C195" s="1">
        <v>45342</v>
      </c>
      <c r="D195">
        <v>26501</v>
      </c>
      <c r="E195">
        <v>741</v>
      </c>
      <c r="F195">
        <v>0.54</v>
      </c>
      <c r="G195">
        <v>4</v>
      </c>
      <c r="H195" t="s">
        <v>41</v>
      </c>
      <c r="I195" t="s">
        <v>23</v>
      </c>
      <c r="J195">
        <v>30</v>
      </c>
    </row>
    <row r="196" spans="1:10" x14ac:dyDescent="0.25">
      <c r="A196" t="s">
        <v>218</v>
      </c>
      <c r="B196" t="s">
        <v>15</v>
      </c>
      <c r="C196" s="1">
        <v>45496</v>
      </c>
      <c r="D196">
        <v>96226</v>
      </c>
      <c r="E196">
        <v>590</v>
      </c>
      <c r="F196">
        <v>0.37</v>
      </c>
      <c r="G196">
        <v>0</v>
      </c>
      <c r="H196" t="s">
        <v>19</v>
      </c>
      <c r="I196" t="s">
        <v>13</v>
      </c>
      <c r="J196">
        <v>25</v>
      </c>
    </row>
    <row r="197" spans="1:10" x14ac:dyDescent="0.25">
      <c r="A197" t="s">
        <v>219</v>
      </c>
      <c r="B197" t="s">
        <v>21</v>
      </c>
      <c r="C197" s="1">
        <v>45704</v>
      </c>
      <c r="D197">
        <v>5914</v>
      </c>
      <c r="E197">
        <v>506</v>
      </c>
      <c r="F197">
        <v>0.21</v>
      </c>
      <c r="G197">
        <v>0</v>
      </c>
      <c r="H197" t="s">
        <v>12</v>
      </c>
      <c r="I197" t="s">
        <v>23</v>
      </c>
      <c r="J197">
        <v>18</v>
      </c>
    </row>
    <row r="198" spans="1:10" x14ac:dyDescent="0.25">
      <c r="A198" t="s">
        <v>220</v>
      </c>
      <c r="B198" t="s">
        <v>21</v>
      </c>
      <c r="C198" s="1">
        <v>45574</v>
      </c>
      <c r="D198">
        <v>123155</v>
      </c>
      <c r="E198">
        <v>824</v>
      </c>
      <c r="F198">
        <v>0.42</v>
      </c>
      <c r="G198">
        <v>0</v>
      </c>
      <c r="H198" t="s">
        <v>22</v>
      </c>
      <c r="I198" t="s">
        <v>13</v>
      </c>
      <c r="J198">
        <v>23</v>
      </c>
    </row>
    <row r="199" spans="1:10" x14ac:dyDescent="0.25">
      <c r="A199" t="s">
        <v>221</v>
      </c>
      <c r="B199" t="s">
        <v>15</v>
      </c>
      <c r="C199" s="1">
        <v>45813</v>
      </c>
      <c r="D199">
        <v>51634</v>
      </c>
      <c r="E199">
        <v>667</v>
      </c>
      <c r="F199">
        <v>0.38</v>
      </c>
      <c r="G199">
        <v>6</v>
      </c>
      <c r="H199" t="s">
        <v>41</v>
      </c>
      <c r="I199" t="s">
        <v>23</v>
      </c>
      <c r="J199">
        <v>15</v>
      </c>
    </row>
    <row r="200" spans="1:10" x14ac:dyDescent="0.25">
      <c r="A200" t="s">
        <v>222</v>
      </c>
      <c r="B200" t="s">
        <v>21</v>
      </c>
      <c r="C200" s="1">
        <v>45657</v>
      </c>
      <c r="D200">
        <v>127075</v>
      </c>
      <c r="E200">
        <v>734</v>
      </c>
      <c r="F200">
        <v>0.45</v>
      </c>
      <c r="G200">
        <v>0</v>
      </c>
      <c r="H200" t="s">
        <v>12</v>
      </c>
      <c r="I200" t="s">
        <v>13</v>
      </c>
      <c r="J200">
        <v>20</v>
      </c>
    </row>
    <row r="201" spans="1:10" x14ac:dyDescent="0.25">
      <c r="A201" t="s">
        <v>223</v>
      </c>
      <c r="B201" t="s">
        <v>15</v>
      </c>
      <c r="C201" s="1">
        <v>45627</v>
      </c>
      <c r="D201">
        <v>111788</v>
      </c>
      <c r="E201">
        <v>514</v>
      </c>
      <c r="F201">
        <v>0.31</v>
      </c>
      <c r="G201">
        <v>0</v>
      </c>
      <c r="H201" t="s">
        <v>27</v>
      </c>
      <c r="I201" t="s">
        <v>13</v>
      </c>
      <c r="J201">
        <v>21</v>
      </c>
    </row>
    <row r="202" spans="1:10" x14ac:dyDescent="0.25">
      <c r="A202" t="s">
        <v>224</v>
      </c>
      <c r="B202" t="s">
        <v>21</v>
      </c>
      <c r="C202" s="1">
        <v>45868</v>
      </c>
      <c r="D202">
        <v>38444</v>
      </c>
      <c r="E202">
        <v>559</v>
      </c>
      <c r="F202">
        <v>0.31</v>
      </c>
      <c r="G202">
        <v>0</v>
      </c>
      <c r="H202" t="s">
        <v>16</v>
      </c>
      <c r="I202" t="s">
        <v>13</v>
      </c>
      <c r="J202">
        <v>13</v>
      </c>
    </row>
    <row r="203" spans="1:10" x14ac:dyDescent="0.25">
      <c r="A203" t="s">
        <v>225</v>
      </c>
      <c r="B203" t="s">
        <v>15</v>
      </c>
      <c r="C203" s="1">
        <v>45977</v>
      </c>
      <c r="D203">
        <v>42638</v>
      </c>
      <c r="E203">
        <v>813</v>
      </c>
      <c r="F203">
        <v>0.18</v>
      </c>
      <c r="G203">
        <v>0</v>
      </c>
      <c r="H203" t="s">
        <v>12</v>
      </c>
      <c r="I203" t="s">
        <v>13</v>
      </c>
      <c r="J203">
        <v>9</v>
      </c>
    </row>
    <row r="204" spans="1:10" x14ac:dyDescent="0.25">
      <c r="A204" t="s">
        <v>226</v>
      </c>
      <c r="B204" t="s">
        <v>15</v>
      </c>
      <c r="C204" s="1">
        <v>45452</v>
      </c>
      <c r="D204">
        <v>73143</v>
      </c>
      <c r="E204">
        <v>832</v>
      </c>
      <c r="F204">
        <v>0.32</v>
      </c>
      <c r="G204">
        <v>0</v>
      </c>
      <c r="H204" t="s">
        <v>16</v>
      </c>
      <c r="I204" t="s">
        <v>13</v>
      </c>
      <c r="J204">
        <v>27</v>
      </c>
    </row>
    <row r="205" spans="1:10" x14ac:dyDescent="0.25">
      <c r="A205" t="s">
        <v>227</v>
      </c>
      <c r="B205" t="s">
        <v>11</v>
      </c>
      <c r="C205" s="1">
        <v>45778</v>
      </c>
      <c r="D205">
        <v>87425</v>
      </c>
      <c r="E205">
        <v>820</v>
      </c>
      <c r="F205">
        <v>0.35</v>
      </c>
      <c r="G205">
        <v>0</v>
      </c>
      <c r="H205" t="s">
        <v>22</v>
      </c>
      <c r="I205" t="s">
        <v>13</v>
      </c>
      <c r="J205">
        <v>16</v>
      </c>
    </row>
    <row r="206" spans="1:10" x14ac:dyDescent="0.25">
      <c r="A206" t="s">
        <v>228</v>
      </c>
      <c r="B206" t="s">
        <v>43</v>
      </c>
      <c r="C206" s="1">
        <v>45666</v>
      </c>
      <c r="D206">
        <v>6058</v>
      </c>
      <c r="E206">
        <v>607</v>
      </c>
      <c r="F206">
        <v>0.55000000000000004</v>
      </c>
      <c r="G206">
        <v>1</v>
      </c>
      <c r="H206" t="s">
        <v>41</v>
      </c>
      <c r="I206" t="s">
        <v>23</v>
      </c>
      <c r="J206">
        <v>20</v>
      </c>
    </row>
    <row r="207" spans="1:10" x14ac:dyDescent="0.25">
      <c r="A207" t="s">
        <v>229</v>
      </c>
      <c r="B207" t="s">
        <v>15</v>
      </c>
      <c r="C207" s="1">
        <v>45612</v>
      </c>
      <c r="D207">
        <v>24632</v>
      </c>
      <c r="E207">
        <v>9999</v>
      </c>
      <c r="F207">
        <v>0.3</v>
      </c>
      <c r="G207">
        <v>0</v>
      </c>
      <c r="H207" t="s">
        <v>16</v>
      </c>
      <c r="I207" t="s">
        <v>13</v>
      </c>
      <c r="J207">
        <v>21</v>
      </c>
    </row>
    <row r="208" spans="1:10" x14ac:dyDescent="0.25">
      <c r="A208" t="s">
        <v>230</v>
      </c>
      <c r="B208" t="s">
        <v>15</v>
      </c>
      <c r="C208" s="1">
        <v>45640</v>
      </c>
      <c r="D208">
        <v>129379</v>
      </c>
      <c r="E208">
        <v>739</v>
      </c>
      <c r="F208">
        <v>0.17</v>
      </c>
      <c r="G208">
        <v>4</v>
      </c>
      <c r="H208" t="s">
        <v>27</v>
      </c>
      <c r="I208" t="s">
        <v>17</v>
      </c>
      <c r="J208">
        <v>20</v>
      </c>
    </row>
    <row r="209" spans="1:10" x14ac:dyDescent="0.25">
      <c r="A209" t="s">
        <v>231</v>
      </c>
      <c r="B209" t="s">
        <v>15</v>
      </c>
      <c r="C209" s="1">
        <v>45885</v>
      </c>
      <c r="D209">
        <v>80961</v>
      </c>
      <c r="E209">
        <v>757</v>
      </c>
      <c r="F209">
        <v>0.36</v>
      </c>
      <c r="G209">
        <v>0</v>
      </c>
      <c r="H209" t="s">
        <v>27</v>
      </c>
      <c r="I209" t="s">
        <v>13</v>
      </c>
      <c r="J209">
        <v>12</v>
      </c>
    </row>
    <row r="210" spans="1:10" x14ac:dyDescent="0.25">
      <c r="A210" t="s">
        <v>232</v>
      </c>
      <c r="B210" t="s">
        <v>21</v>
      </c>
      <c r="C210" s="1">
        <v>45537</v>
      </c>
      <c r="D210">
        <v>122194</v>
      </c>
      <c r="E210">
        <v>668</v>
      </c>
      <c r="F210">
        <v>0.4</v>
      </c>
      <c r="G210">
        <v>4</v>
      </c>
      <c r="H210" t="s">
        <v>19</v>
      </c>
      <c r="I210" t="s">
        <v>17</v>
      </c>
      <c r="J210">
        <v>24</v>
      </c>
    </row>
    <row r="211" spans="1:10" x14ac:dyDescent="0.25">
      <c r="A211" t="s">
        <v>233</v>
      </c>
      <c r="B211" t="s">
        <v>15</v>
      </c>
      <c r="C211" s="1">
        <v>45317</v>
      </c>
      <c r="D211">
        <v>118440</v>
      </c>
      <c r="E211">
        <v>475</v>
      </c>
      <c r="F211">
        <v>0.54</v>
      </c>
      <c r="G211">
        <v>0</v>
      </c>
      <c r="H211" t="s">
        <v>19</v>
      </c>
      <c r="I211" t="s">
        <v>13</v>
      </c>
      <c r="J211">
        <v>31</v>
      </c>
    </row>
    <row r="212" spans="1:10" x14ac:dyDescent="0.25">
      <c r="A212" t="s">
        <v>234</v>
      </c>
      <c r="B212" t="s">
        <v>21</v>
      </c>
      <c r="C212" s="1">
        <v>45620</v>
      </c>
      <c r="D212">
        <v>57344</v>
      </c>
      <c r="E212">
        <v>675</v>
      </c>
      <c r="F212">
        <v>0.49</v>
      </c>
      <c r="G212">
        <v>5</v>
      </c>
      <c r="H212" t="s">
        <v>22</v>
      </c>
      <c r="I212" t="s">
        <v>17</v>
      </c>
      <c r="J212">
        <v>21</v>
      </c>
    </row>
    <row r="213" spans="1:10" x14ac:dyDescent="0.25">
      <c r="A213" t="s">
        <v>235</v>
      </c>
      <c r="B213" t="s">
        <v>11</v>
      </c>
      <c r="C213" s="1">
        <v>45391</v>
      </c>
      <c r="D213">
        <v>125271</v>
      </c>
      <c r="E213">
        <v>535</v>
      </c>
      <c r="F213">
        <v>0.53</v>
      </c>
      <c r="G213">
        <v>0</v>
      </c>
      <c r="H213" t="s">
        <v>12</v>
      </c>
      <c r="I213" t="s">
        <v>23</v>
      </c>
      <c r="J213">
        <v>29</v>
      </c>
    </row>
    <row r="214" spans="1:10" x14ac:dyDescent="0.25">
      <c r="A214" t="s">
        <v>236</v>
      </c>
      <c r="B214" t="s">
        <v>15</v>
      </c>
      <c r="C214" s="1">
        <v>45990</v>
      </c>
      <c r="D214">
        <v>63798</v>
      </c>
      <c r="E214">
        <v>562</v>
      </c>
      <c r="F214">
        <v>0.31</v>
      </c>
      <c r="G214">
        <v>0</v>
      </c>
      <c r="H214" t="s">
        <v>19</v>
      </c>
      <c r="I214" t="s">
        <v>13</v>
      </c>
      <c r="J214">
        <v>9</v>
      </c>
    </row>
    <row r="215" spans="1:10" x14ac:dyDescent="0.25">
      <c r="A215" t="s">
        <v>237</v>
      </c>
      <c r="B215" t="s">
        <v>15</v>
      </c>
      <c r="C215" s="1">
        <v>45495</v>
      </c>
      <c r="D215">
        <v>135232</v>
      </c>
      <c r="E215">
        <v>836</v>
      </c>
      <c r="F215">
        <v>0.35</v>
      </c>
      <c r="G215">
        <v>0</v>
      </c>
      <c r="H215" t="s">
        <v>41</v>
      </c>
      <c r="I215" t="s">
        <v>13</v>
      </c>
      <c r="J215">
        <v>25</v>
      </c>
    </row>
    <row r="216" spans="1:10" x14ac:dyDescent="0.25">
      <c r="A216" t="s">
        <v>238</v>
      </c>
      <c r="B216" t="s">
        <v>11</v>
      </c>
      <c r="C216" s="1">
        <v>45613</v>
      </c>
      <c r="D216">
        <v>31052</v>
      </c>
      <c r="E216">
        <v>549</v>
      </c>
      <c r="F216">
        <v>0.47</v>
      </c>
      <c r="G216">
        <v>0</v>
      </c>
      <c r="H216" t="s">
        <v>22</v>
      </c>
      <c r="I216" t="s">
        <v>23</v>
      </c>
      <c r="J216">
        <v>21</v>
      </c>
    </row>
    <row r="217" spans="1:10" x14ac:dyDescent="0.25">
      <c r="A217" t="s">
        <v>239</v>
      </c>
      <c r="B217" t="s">
        <v>21</v>
      </c>
      <c r="C217" s="1">
        <v>45528</v>
      </c>
      <c r="D217">
        <v>83419</v>
      </c>
      <c r="E217">
        <v>622</v>
      </c>
      <c r="F217">
        <v>0.42</v>
      </c>
      <c r="G217">
        <v>0</v>
      </c>
      <c r="H217" t="s">
        <v>16</v>
      </c>
      <c r="I217" t="s">
        <v>13</v>
      </c>
      <c r="J217">
        <v>24</v>
      </c>
    </row>
    <row r="218" spans="1:10" x14ac:dyDescent="0.25">
      <c r="A218" t="s">
        <v>240</v>
      </c>
      <c r="B218" t="s">
        <v>15</v>
      </c>
      <c r="C218" s="1">
        <v>45979</v>
      </c>
      <c r="D218">
        <v>43724</v>
      </c>
      <c r="E218">
        <v>657</v>
      </c>
      <c r="F218">
        <v>0.27</v>
      </c>
      <c r="G218">
        <v>0</v>
      </c>
      <c r="H218" t="s">
        <v>16</v>
      </c>
      <c r="I218" t="s">
        <v>13</v>
      </c>
      <c r="J218">
        <v>9</v>
      </c>
    </row>
    <row r="219" spans="1:10" x14ac:dyDescent="0.25">
      <c r="A219" t="s">
        <v>241</v>
      </c>
      <c r="B219" t="s">
        <v>15</v>
      </c>
      <c r="C219" s="1">
        <v>45399</v>
      </c>
      <c r="D219">
        <v>108776</v>
      </c>
      <c r="E219">
        <v>474</v>
      </c>
      <c r="F219">
        <v>0.56999999999999995</v>
      </c>
      <c r="G219">
        <v>2</v>
      </c>
      <c r="H219" t="s">
        <v>19</v>
      </c>
      <c r="I219" t="s">
        <v>23</v>
      </c>
      <c r="J219">
        <v>28</v>
      </c>
    </row>
    <row r="220" spans="1:10" x14ac:dyDescent="0.25">
      <c r="A220" t="s">
        <v>242</v>
      </c>
      <c r="B220" t="s">
        <v>21</v>
      </c>
      <c r="C220" s="1">
        <v>45468</v>
      </c>
      <c r="D220">
        <v>71094</v>
      </c>
      <c r="E220">
        <v>741</v>
      </c>
      <c r="F220">
        <v>0.43</v>
      </c>
      <c r="G220">
        <v>0</v>
      </c>
      <c r="H220" t="s">
        <v>41</v>
      </c>
      <c r="I220" t="s">
        <v>13</v>
      </c>
      <c r="J220">
        <v>26</v>
      </c>
    </row>
    <row r="221" spans="1:10" x14ac:dyDescent="0.25">
      <c r="A221" t="s">
        <v>243</v>
      </c>
      <c r="B221" t="s">
        <v>11</v>
      </c>
      <c r="C221" s="1">
        <v>45430</v>
      </c>
      <c r="D221">
        <v>38513</v>
      </c>
      <c r="E221">
        <v>839</v>
      </c>
      <c r="F221">
        <v>0.2</v>
      </c>
      <c r="G221">
        <v>4</v>
      </c>
      <c r="H221" t="s">
        <v>41</v>
      </c>
      <c r="I221" t="s">
        <v>23</v>
      </c>
      <c r="J221">
        <v>27</v>
      </c>
    </row>
    <row r="222" spans="1:10" x14ac:dyDescent="0.25">
      <c r="A222" t="s">
        <v>244</v>
      </c>
      <c r="B222" t="s">
        <v>15</v>
      </c>
      <c r="C222" s="1">
        <v>45846</v>
      </c>
      <c r="D222">
        <v>58038</v>
      </c>
      <c r="E222">
        <v>788</v>
      </c>
      <c r="F222">
        <v>0.26</v>
      </c>
      <c r="G222">
        <v>0</v>
      </c>
      <c r="H222" t="s">
        <v>12</v>
      </c>
      <c r="I222" t="s">
        <v>13</v>
      </c>
      <c r="J222">
        <v>14</v>
      </c>
    </row>
    <row r="223" spans="1:10" x14ac:dyDescent="0.25">
      <c r="A223" t="s">
        <v>245</v>
      </c>
      <c r="B223" t="s">
        <v>15</v>
      </c>
      <c r="C223" s="1">
        <v>45678</v>
      </c>
      <c r="D223">
        <v>136665</v>
      </c>
      <c r="E223">
        <v>736</v>
      </c>
      <c r="F223">
        <v>0.6</v>
      </c>
      <c r="G223">
        <v>6</v>
      </c>
      <c r="H223" t="s">
        <v>19</v>
      </c>
      <c r="I223" t="s">
        <v>23</v>
      </c>
      <c r="J223">
        <v>19</v>
      </c>
    </row>
    <row r="224" spans="1:10" x14ac:dyDescent="0.25">
      <c r="A224" t="s">
        <v>246</v>
      </c>
      <c r="B224" t="s">
        <v>21</v>
      </c>
      <c r="C224" s="1">
        <v>45359</v>
      </c>
      <c r="D224">
        <v>111388</v>
      </c>
      <c r="E224">
        <v>620</v>
      </c>
      <c r="F224">
        <v>0.64</v>
      </c>
      <c r="G224">
        <v>0</v>
      </c>
      <c r="H224" t="s">
        <v>16</v>
      </c>
      <c r="I224" t="s">
        <v>17</v>
      </c>
      <c r="J224">
        <v>30</v>
      </c>
    </row>
    <row r="225" spans="1:10" x14ac:dyDescent="0.25">
      <c r="A225" t="s">
        <v>247</v>
      </c>
      <c r="B225" t="s">
        <v>43</v>
      </c>
      <c r="C225" s="1">
        <v>45526</v>
      </c>
      <c r="D225">
        <v>91899</v>
      </c>
      <c r="E225">
        <v>762</v>
      </c>
      <c r="F225">
        <v>0.18</v>
      </c>
      <c r="G225">
        <v>0</v>
      </c>
      <c r="H225" t="s">
        <v>41</v>
      </c>
      <c r="I225" t="s">
        <v>13</v>
      </c>
      <c r="J225">
        <v>24</v>
      </c>
    </row>
    <row r="226" spans="1:10" x14ac:dyDescent="0.25">
      <c r="A226" t="s">
        <v>248</v>
      </c>
      <c r="B226" t="s">
        <v>43</v>
      </c>
      <c r="C226" s="1">
        <v>45540</v>
      </c>
      <c r="D226">
        <v>131425</v>
      </c>
      <c r="E226">
        <v>599</v>
      </c>
      <c r="F226">
        <v>0.51</v>
      </c>
      <c r="G226">
        <v>2</v>
      </c>
      <c r="H226" t="s">
        <v>41</v>
      </c>
      <c r="I226" t="s">
        <v>23</v>
      </c>
      <c r="J226">
        <v>24</v>
      </c>
    </row>
    <row r="227" spans="1:10" x14ac:dyDescent="0.25">
      <c r="A227" t="s">
        <v>249</v>
      </c>
      <c r="B227" t="s">
        <v>21</v>
      </c>
      <c r="C227" s="1">
        <v>45661</v>
      </c>
      <c r="D227">
        <v>85450</v>
      </c>
      <c r="E227">
        <v>534</v>
      </c>
      <c r="F227">
        <v>0.25</v>
      </c>
      <c r="G227">
        <v>3</v>
      </c>
      <c r="H227" t="s">
        <v>41</v>
      </c>
      <c r="I227" t="s">
        <v>17</v>
      </c>
      <c r="J227">
        <v>20</v>
      </c>
    </row>
    <row r="228" spans="1:10" x14ac:dyDescent="0.25">
      <c r="A228" t="s">
        <v>250</v>
      </c>
      <c r="B228" t="s">
        <v>15</v>
      </c>
      <c r="C228" s="1">
        <v>45624</v>
      </c>
      <c r="D228">
        <v>66810</v>
      </c>
      <c r="E228">
        <v>594</v>
      </c>
      <c r="F228">
        <v>0.59</v>
      </c>
      <c r="G228">
        <v>0</v>
      </c>
      <c r="H228" t="s">
        <v>41</v>
      </c>
      <c r="I228" t="s">
        <v>13</v>
      </c>
      <c r="J228">
        <v>21</v>
      </c>
    </row>
    <row r="229" spans="1:10" x14ac:dyDescent="0.25">
      <c r="A229" t="s">
        <v>251</v>
      </c>
      <c r="B229" t="s">
        <v>15</v>
      </c>
      <c r="C229" s="1">
        <v>45939</v>
      </c>
      <c r="D229">
        <v>126921</v>
      </c>
      <c r="E229">
        <v>472</v>
      </c>
      <c r="F229">
        <v>0.2</v>
      </c>
      <c r="G229">
        <v>0</v>
      </c>
      <c r="H229" t="s">
        <v>12</v>
      </c>
      <c r="I229" t="s">
        <v>13</v>
      </c>
      <c r="J229">
        <v>11</v>
      </c>
    </row>
    <row r="230" spans="1:10" x14ac:dyDescent="0.25">
      <c r="A230" t="s">
        <v>252</v>
      </c>
      <c r="B230" t="s">
        <v>21</v>
      </c>
      <c r="C230" s="1">
        <v>45332</v>
      </c>
      <c r="D230">
        <v>114389</v>
      </c>
      <c r="E230">
        <v>532</v>
      </c>
      <c r="F230">
        <v>0.42</v>
      </c>
      <c r="G230">
        <v>0</v>
      </c>
      <c r="H230" t="s">
        <v>19</v>
      </c>
      <c r="I230" t="s">
        <v>13</v>
      </c>
      <c r="J230">
        <v>30</v>
      </c>
    </row>
    <row r="231" spans="1:10" x14ac:dyDescent="0.25">
      <c r="A231" t="s">
        <v>253</v>
      </c>
      <c r="B231" t="s">
        <v>21</v>
      </c>
      <c r="C231" s="1">
        <v>45741</v>
      </c>
      <c r="D231">
        <v>108643</v>
      </c>
      <c r="E231">
        <v>470</v>
      </c>
      <c r="F231">
        <v>0.28000000000000003</v>
      </c>
      <c r="G231">
        <v>0</v>
      </c>
      <c r="H231" t="s">
        <v>27</v>
      </c>
      <c r="I231" t="s">
        <v>13</v>
      </c>
      <c r="J231">
        <v>17</v>
      </c>
    </row>
    <row r="232" spans="1:10" x14ac:dyDescent="0.25">
      <c r="A232" t="s">
        <v>254</v>
      </c>
      <c r="B232" t="s">
        <v>43</v>
      </c>
      <c r="C232" s="1">
        <v>45961</v>
      </c>
      <c r="D232">
        <v>135320</v>
      </c>
      <c r="E232">
        <v>722</v>
      </c>
      <c r="F232">
        <v>0.27</v>
      </c>
      <c r="G232">
        <v>0</v>
      </c>
      <c r="H232" t="s">
        <v>22</v>
      </c>
      <c r="I232" t="s">
        <v>13</v>
      </c>
      <c r="J232">
        <v>10</v>
      </c>
    </row>
    <row r="233" spans="1:10" x14ac:dyDescent="0.25">
      <c r="A233" t="s">
        <v>255</v>
      </c>
      <c r="B233" t="s">
        <v>11</v>
      </c>
      <c r="C233" s="1">
        <v>45910</v>
      </c>
      <c r="D233">
        <v>75212</v>
      </c>
      <c r="E233">
        <v>723</v>
      </c>
      <c r="F233">
        <v>0.28000000000000003</v>
      </c>
      <c r="G233">
        <v>2</v>
      </c>
      <c r="H233" t="s">
        <v>41</v>
      </c>
      <c r="I233" t="s">
        <v>17</v>
      </c>
      <c r="J233">
        <v>11</v>
      </c>
    </row>
    <row r="234" spans="1:10" x14ac:dyDescent="0.25">
      <c r="A234" t="s">
        <v>256</v>
      </c>
      <c r="B234" t="s">
        <v>43</v>
      </c>
      <c r="C234" s="1">
        <v>45956</v>
      </c>
      <c r="D234">
        <v>71706</v>
      </c>
      <c r="E234">
        <v>793</v>
      </c>
      <c r="F234">
        <v>0.51</v>
      </c>
      <c r="G234">
        <v>0</v>
      </c>
      <c r="H234" t="s">
        <v>41</v>
      </c>
      <c r="I234" t="s">
        <v>13</v>
      </c>
      <c r="J234">
        <v>10</v>
      </c>
    </row>
    <row r="235" spans="1:10" x14ac:dyDescent="0.25">
      <c r="A235" t="s">
        <v>257</v>
      </c>
      <c r="B235" t="s">
        <v>15</v>
      </c>
      <c r="C235" s="1">
        <v>45546</v>
      </c>
      <c r="D235">
        <v>113084</v>
      </c>
      <c r="E235">
        <v>558</v>
      </c>
      <c r="F235">
        <v>0.6</v>
      </c>
      <c r="G235">
        <v>2</v>
      </c>
      <c r="H235" t="s">
        <v>12</v>
      </c>
      <c r="I235" t="s">
        <v>23</v>
      </c>
      <c r="J235">
        <v>23</v>
      </c>
    </row>
    <row r="236" spans="1:10" x14ac:dyDescent="0.25">
      <c r="A236" t="s">
        <v>258</v>
      </c>
      <c r="B236" t="s">
        <v>15</v>
      </c>
      <c r="C236" s="1">
        <v>45934</v>
      </c>
      <c r="D236">
        <v>17105</v>
      </c>
      <c r="E236">
        <v>819</v>
      </c>
      <c r="F236">
        <v>0.59</v>
      </c>
      <c r="G236">
        <v>4</v>
      </c>
      <c r="H236" t="s">
        <v>27</v>
      </c>
      <c r="I236" t="s">
        <v>23</v>
      </c>
      <c r="J236">
        <v>11</v>
      </c>
    </row>
    <row r="237" spans="1:10" x14ac:dyDescent="0.25">
      <c r="A237" t="s">
        <v>259</v>
      </c>
      <c r="B237" t="s">
        <v>15</v>
      </c>
      <c r="C237" s="1">
        <v>45804</v>
      </c>
      <c r="D237">
        <v>108274</v>
      </c>
      <c r="E237">
        <v>508</v>
      </c>
      <c r="F237">
        <v>0.5</v>
      </c>
      <c r="G237">
        <v>0</v>
      </c>
      <c r="H237" t="s">
        <v>12</v>
      </c>
      <c r="I237" t="s">
        <v>13</v>
      </c>
      <c r="J237">
        <v>15</v>
      </c>
    </row>
    <row r="238" spans="1:10" x14ac:dyDescent="0.25">
      <c r="A238" t="s">
        <v>260</v>
      </c>
      <c r="B238" t="s">
        <v>21</v>
      </c>
      <c r="C238" s="1">
        <v>45961</v>
      </c>
      <c r="D238">
        <v>63136</v>
      </c>
      <c r="E238">
        <v>834</v>
      </c>
      <c r="F238">
        <v>0.24</v>
      </c>
      <c r="G238">
        <v>0</v>
      </c>
      <c r="H238" t="s">
        <v>12</v>
      </c>
      <c r="I238" t="s">
        <v>23</v>
      </c>
      <c r="J238">
        <v>10</v>
      </c>
    </row>
    <row r="239" spans="1:10" x14ac:dyDescent="0.25">
      <c r="A239" t="s">
        <v>261</v>
      </c>
      <c r="B239" t="s">
        <v>15</v>
      </c>
      <c r="C239" s="1">
        <v>45294</v>
      </c>
      <c r="D239">
        <v>11839</v>
      </c>
      <c r="E239">
        <v>756</v>
      </c>
      <c r="F239">
        <v>0.56999999999999995</v>
      </c>
      <c r="G239">
        <v>0</v>
      </c>
      <c r="H239" t="s">
        <v>19</v>
      </c>
      <c r="I239" t="s">
        <v>13</v>
      </c>
      <c r="J239">
        <v>32</v>
      </c>
    </row>
    <row r="240" spans="1:10" x14ac:dyDescent="0.25">
      <c r="A240" t="s">
        <v>262</v>
      </c>
      <c r="B240" t="s">
        <v>15</v>
      </c>
      <c r="C240" s="1">
        <v>45922</v>
      </c>
      <c r="D240">
        <v>94458</v>
      </c>
      <c r="E240">
        <v>843</v>
      </c>
      <c r="F240">
        <v>0.47</v>
      </c>
      <c r="G240">
        <v>5</v>
      </c>
      <c r="H240" t="s">
        <v>27</v>
      </c>
      <c r="I240" t="s">
        <v>23</v>
      </c>
      <c r="J240">
        <v>11</v>
      </c>
    </row>
    <row r="241" spans="1:10" x14ac:dyDescent="0.25">
      <c r="A241" t="s">
        <v>263</v>
      </c>
      <c r="B241" t="s">
        <v>15</v>
      </c>
      <c r="C241" s="1">
        <v>45380</v>
      </c>
      <c r="D241">
        <v>147513</v>
      </c>
      <c r="E241">
        <v>784</v>
      </c>
      <c r="F241">
        <v>0.48</v>
      </c>
      <c r="G241">
        <v>0</v>
      </c>
      <c r="H241" t="s">
        <v>12</v>
      </c>
      <c r="I241" t="s">
        <v>13</v>
      </c>
      <c r="J241">
        <v>29</v>
      </c>
    </row>
    <row r="242" spans="1:10" x14ac:dyDescent="0.25">
      <c r="A242" t="s">
        <v>264</v>
      </c>
      <c r="B242" t="s">
        <v>21</v>
      </c>
      <c r="C242" s="1">
        <v>45746</v>
      </c>
      <c r="D242">
        <v>22225</v>
      </c>
      <c r="E242">
        <v>452</v>
      </c>
      <c r="F242">
        <v>0.3</v>
      </c>
      <c r="G242">
        <v>0</v>
      </c>
      <c r="H242" t="s">
        <v>19</v>
      </c>
      <c r="I242" t="s">
        <v>13</v>
      </c>
      <c r="J242">
        <v>17</v>
      </c>
    </row>
    <row r="243" spans="1:10" x14ac:dyDescent="0.25">
      <c r="A243" t="s">
        <v>265</v>
      </c>
      <c r="B243" t="s">
        <v>21</v>
      </c>
      <c r="C243" s="1">
        <v>45438</v>
      </c>
      <c r="D243">
        <v>79252</v>
      </c>
      <c r="E243">
        <v>486</v>
      </c>
      <c r="F243">
        <v>0.52</v>
      </c>
      <c r="G243">
        <v>4</v>
      </c>
      <c r="H243" t="s">
        <v>41</v>
      </c>
      <c r="I243" t="s">
        <v>89</v>
      </c>
      <c r="J243">
        <v>27</v>
      </c>
    </row>
    <row r="244" spans="1:10" x14ac:dyDescent="0.25">
      <c r="A244" t="s">
        <v>266</v>
      </c>
      <c r="B244" t="s">
        <v>15</v>
      </c>
      <c r="C244" s="1">
        <v>45717</v>
      </c>
      <c r="D244">
        <v>51155</v>
      </c>
      <c r="E244">
        <v>705</v>
      </c>
      <c r="F244">
        <v>0.46</v>
      </c>
      <c r="G244">
        <v>5</v>
      </c>
      <c r="H244" t="s">
        <v>19</v>
      </c>
      <c r="I244" t="s">
        <v>23</v>
      </c>
      <c r="J244">
        <v>18</v>
      </c>
    </row>
    <row r="245" spans="1:10" x14ac:dyDescent="0.25">
      <c r="A245" t="s">
        <v>267</v>
      </c>
      <c r="B245" t="s">
        <v>15</v>
      </c>
      <c r="C245" s="1">
        <v>45653</v>
      </c>
      <c r="D245">
        <v>29218</v>
      </c>
      <c r="E245">
        <v>-1</v>
      </c>
      <c r="F245">
        <v>0.48</v>
      </c>
      <c r="G245">
        <v>5</v>
      </c>
      <c r="H245" t="s">
        <v>41</v>
      </c>
      <c r="I245" t="s">
        <v>89</v>
      </c>
      <c r="J245">
        <v>20</v>
      </c>
    </row>
    <row r="246" spans="1:10" x14ac:dyDescent="0.25">
      <c r="A246" t="s">
        <v>268</v>
      </c>
      <c r="B246" t="s">
        <v>15</v>
      </c>
      <c r="C246" s="1">
        <v>45642</v>
      </c>
      <c r="D246">
        <v>17168</v>
      </c>
      <c r="E246">
        <v>712</v>
      </c>
      <c r="F246">
        <v>0.16</v>
      </c>
      <c r="G246">
        <v>0</v>
      </c>
      <c r="H246" t="s">
        <v>12</v>
      </c>
      <c r="I246" t="s">
        <v>13</v>
      </c>
      <c r="J246">
        <v>20</v>
      </c>
    </row>
    <row r="247" spans="1:10" x14ac:dyDescent="0.25">
      <c r="A247" t="s">
        <v>269</v>
      </c>
      <c r="B247" t="s">
        <v>15</v>
      </c>
      <c r="C247" s="1">
        <v>45656</v>
      </c>
      <c r="D247">
        <v>97535</v>
      </c>
      <c r="E247">
        <v>457</v>
      </c>
      <c r="F247">
        <v>0.54</v>
      </c>
      <c r="G247">
        <v>1</v>
      </c>
      <c r="H247" t="s">
        <v>27</v>
      </c>
      <c r="I247" t="s">
        <v>89</v>
      </c>
      <c r="J247">
        <v>20</v>
      </c>
    </row>
    <row r="248" spans="1:10" x14ac:dyDescent="0.25">
      <c r="A248" t="s">
        <v>270</v>
      </c>
      <c r="B248" t="s">
        <v>15</v>
      </c>
      <c r="C248" s="1">
        <v>45365</v>
      </c>
      <c r="D248">
        <v>22378</v>
      </c>
      <c r="E248">
        <v>712</v>
      </c>
      <c r="F248">
        <v>0.21</v>
      </c>
      <c r="G248">
        <v>0</v>
      </c>
      <c r="H248" t="s">
        <v>41</v>
      </c>
      <c r="I248" t="s">
        <v>13</v>
      </c>
      <c r="J248">
        <v>29</v>
      </c>
    </row>
    <row r="249" spans="1:10" x14ac:dyDescent="0.25">
      <c r="A249" t="s">
        <v>271</v>
      </c>
      <c r="B249" t="s">
        <v>15</v>
      </c>
      <c r="C249" s="1">
        <v>45630</v>
      </c>
      <c r="D249">
        <v>9631</v>
      </c>
      <c r="E249">
        <v>520</v>
      </c>
      <c r="F249">
        <v>0.35</v>
      </c>
      <c r="G249">
        <v>0</v>
      </c>
      <c r="H249" t="s">
        <v>27</v>
      </c>
      <c r="I249" t="s">
        <v>13</v>
      </c>
      <c r="J249">
        <v>21</v>
      </c>
    </row>
    <row r="250" spans="1:10" x14ac:dyDescent="0.25">
      <c r="A250" t="s">
        <v>272</v>
      </c>
      <c r="B250" t="s">
        <v>11</v>
      </c>
      <c r="C250" s="1">
        <v>45903</v>
      </c>
      <c r="D250">
        <v>92748</v>
      </c>
      <c r="E250">
        <v>802</v>
      </c>
      <c r="F250">
        <v>0.38</v>
      </c>
      <c r="G250">
        <v>0</v>
      </c>
      <c r="H250" t="s">
        <v>22</v>
      </c>
      <c r="I250" t="s">
        <v>13</v>
      </c>
      <c r="J250">
        <v>12</v>
      </c>
    </row>
    <row r="251" spans="1:10" x14ac:dyDescent="0.25">
      <c r="A251" t="s">
        <v>273</v>
      </c>
      <c r="B251" t="s">
        <v>15</v>
      </c>
      <c r="C251" s="1">
        <v>45539</v>
      </c>
      <c r="D251">
        <v>47263</v>
      </c>
      <c r="E251">
        <v>673</v>
      </c>
      <c r="F251">
        <v>0.16</v>
      </c>
      <c r="G251">
        <v>1</v>
      </c>
      <c r="H251" t="s">
        <v>19</v>
      </c>
      <c r="I251" t="s">
        <v>23</v>
      </c>
      <c r="J251">
        <v>24</v>
      </c>
    </row>
    <row r="252" spans="1:10" x14ac:dyDescent="0.25">
      <c r="A252" t="s">
        <v>274</v>
      </c>
      <c r="B252" t="s">
        <v>21</v>
      </c>
      <c r="C252" s="1">
        <v>45656</v>
      </c>
      <c r="D252">
        <v>22753</v>
      </c>
      <c r="E252">
        <v>689</v>
      </c>
      <c r="F252">
        <v>0.23</v>
      </c>
      <c r="G252">
        <v>6</v>
      </c>
      <c r="H252" t="s">
        <v>27</v>
      </c>
      <c r="I252" t="s">
        <v>17</v>
      </c>
      <c r="J252">
        <v>20</v>
      </c>
    </row>
    <row r="253" spans="1:10" x14ac:dyDescent="0.25">
      <c r="A253" t="s">
        <v>275</v>
      </c>
      <c r="B253" t="s">
        <v>21</v>
      </c>
      <c r="C253" s="1">
        <v>45477</v>
      </c>
      <c r="D253">
        <v>94847</v>
      </c>
      <c r="E253">
        <v>0</v>
      </c>
      <c r="F253">
        <v>0.45</v>
      </c>
      <c r="G253">
        <v>0</v>
      </c>
      <c r="H253" t="s">
        <v>27</v>
      </c>
      <c r="I253" t="s">
        <v>13</v>
      </c>
      <c r="J253">
        <v>26</v>
      </c>
    </row>
    <row r="254" spans="1:10" x14ac:dyDescent="0.25">
      <c r="A254" t="s">
        <v>276</v>
      </c>
      <c r="B254" t="s">
        <v>15</v>
      </c>
      <c r="C254" s="1">
        <v>45934</v>
      </c>
      <c r="D254">
        <v>77924</v>
      </c>
      <c r="E254">
        <v>779</v>
      </c>
      <c r="F254">
        <v>0.17</v>
      </c>
      <c r="G254">
        <v>0</v>
      </c>
      <c r="H254" t="s">
        <v>12</v>
      </c>
      <c r="I254" t="s">
        <v>13</v>
      </c>
      <c r="J254">
        <v>11</v>
      </c>
    </row>
    <row r="255" spans="1:10" x14ac:dyDescent="0.25">
      <c r="A255" t="s">
        <v>277</v>
      </c>
      <c r="B255" t="s">
        <v>21</v>
      </c>
      <c r="C255" s="1">
        <v>45715</v>
      </c>
      <c r="D255">
        <v>18802</v>
      </c>
      <c r="E255">
        <v>684</v>
      </c>
      <c r="F255">
        <v>0.25</v>
      </c>
      <c r="G255">
        <v>0</v>
      </c>
      <c r="H255" t="s">
        <v>12</v>
      </c>
      <c r="I255" t="s">
        <v>13</v>
      </c>
      <c r="J255">
        <v>18</v>
      </c>
    </row>
    <row r="256" spans="1:10" x14ac:dyDescent="0.25">
      <c r="A256" t="s">
        <v>278</v>
      </c>
      <c r="B256" t="s">
        <v>15</v>
      </c>
      <c r="C256" s="1">
        <v>45402</v>
      </c>
      <c r="D256">
        <v>17389</v>
      </c>
      <c r="E256">
        <v>637</v>
      </c>
      <c r="F256">
        <v>0.55000000000000004</v>
      </c>
      <c r="G256">
        <v>6</v>
      </c>
      <c r="H256" t="s">
        <v>12</v>
      </c>
      <c r="I256" t="s">
        <v>23</v>
      </c>
      <c r="J256">
        <v>28</v>
      </c>
    </row>
    <row r="257" spans="1:10" x14ac:dyDescent="0.25">
      <c r="A257" t="s">
        <v>279</v>
      </c>
      <c r="B257" t="s">
        <v>21</v>
      </c>
      <c r="C257" s="1">
        <v>45370</v>
      </c>
      <c r="D257">
        <v>113426</v>
      </c>
      <c r="E257">
        <v>552</v>
      </c>
      <c r="F257">
        <v>0.21</v>
      </c>
      <c r="G257">
        <v>0</v>
      </c>
      <c r="H257" t="s">
        <v>19</v>
      </c>
      <c r="I257" t="s">
        <v>13</v>
      </c>
      <c r="J257">
        <v>29</v>
      </c>
    </row>
    <row r="258" spans="1:10" x14ac:dyDescent="0.25">
      <c r="A258" t="s">
        <v>280</v>
      </c>
      <c r="B258" t="s">
        <v>21</v>
      </c>
      <c r="C258" s="1">
        <v>45387</v>
      </c>
      <c r="D258">
        <v>149596</v>
      </c>
      <c r="E258">
        <v>493</v>
      </c>
      <c r="F258">
        <v>0.18</v>
      </c>
      <c r="G258">
        <v>0</v>
      </c>
      <c r="H258" t="s">
        <v>27</v>
      </c>
      <c r="I258" t="s">
        <v>13</v>
      </c>
      <c r="J258">
        <v>29</v>
      </c>
    </row>
    <row r="259" spans="1:10" x14ac:dyDescent="0.25">
      <c r="A259" t="s">
        <v>281</v>
      </c>
      <c r="B259" t="s">
        <v>15</v>
      </c>
      <c r="C259" s="1">
        <v>45936</v>
      </c>
      <c r="D259">
        <v>129834</v>
      </c>
      <c r="E259">
        <v>627</v>
      </c>
      <c r="F259">
        <v>0.2</v>
      </c>
      <c r="G259">
        <v>0</v>
      </c>
      <c r="H259" t="s">
        <v>41</v>
      </c>
      <c r="I259" t="s">
        <v>13</v>
      </c>
      <c r="J259">
        <v>11</v>
      </c>
    </row>
    <row r="260" spans="1:10" x14ac:dyDescent="0.25">
      <c r="A260" t="s">
        <v>282</v>
      </c>
      <c r="B260" t="s">
        <v>15</v>
      </c>
      <c r="C260" s="1">
        <v>45873</v>
      </c>
      <c r="D260">
        <v>73049</v>
      </c>
      <c r="E260">
        <v>498</v>
      </c>
      <c r="F260">
        <v>0.56999999999999995</v>
      </c>
      <c r="G260">
        <v>0</v>
      </c>
      <c r="H260" t="s">
        <v>41</v>
      </c>
      <c r="I260" t="s">
        <v>13</v>
      </c>
      <c r="J260">
        <v>13</v>
      </c>
    </row>
    <row r="261" spans="1:10" x14ac:dyDescent="0.25">
      <c r="A261" t="s">
        <v>283</v>
      </c>
      <c r="B261" t="s">
        <v>15</v>
      </c>
      <c r="C261" s="1">
        <v>45347</v>
      </c>
      <c r="D261">
        <v>75746</v>
      </c>
      <c r="E261">
        <v>813</v>
      </c>
      <c r="F261">
        <v>0.22</v>
      </c>
      <c r="G261">
        <v>0</v>
      </c>
      <c r="H261" t="s">
        <v>16</v>
      </c>
      <c r="I261" t="s">
        <v>13</v>
      </c>
      <c r="J261">
        <v>30</v>
      </c>
    </row>
    <row r="262" spans="1:10" x14ac:dyDescent="0.25">
      <c r="A262" t="s">
        <v>284</v>
      </c>
      <c r="B262" t="s">
        <v>11</v>
      </c>
      <c r="C262" s="1">
        <v>45569</v>
      </c>
      <c r="D262">
        <v>41380</v>
      </c>
      <c r="E262">
        <v>587</v>
      </c>
      <c r="F262">
        <v>0.19</v>
      </c>
      <c r="G262">
        <v>0</v>
      </c>
      <c r="H262" t="s">
        <v>16</v>
      </c>
      <c r="I262" t="s">
        <v>13</v>
      </c>
      <c r="J262">
        <v>23</v>
      </c>
    </row>
    <row r="263" spans="1:10" x14ac:dyDescent="0.25">
      <c r="A263" t="s">
        <v>285</v>
      </c>
      <c r="B263" t="s">
        <v>15</v>
      </c>
      <c r="C263" s="1">
        <v>45717</v>
      </c>
      <c r="D263">
        <v>58409</v>
      </c>
      <c r="E263">
        <v>845</v>
      </c>
      <c r="F263">
        <v>0.35</v>
      </c>
      <c r="G263">
        <v>0</v>
      </c>
      <c r="H263" t="s">
        <v>12</v>
      </c>
      <c r="I263" t="s">
        <v>23</v>
      </c>
      <c r="J263">
        <v>18</v>
      </c>
    </row>
    <row r="264" spans="1:10" x14ac:dyDescent="0.25">
      <c r="A264" t="s">
        <v>286</v>
      </c>
      <c r="B264" t="s">
        <v>15</v>
      </c>
      <c r="C264" s="1">
        <v>45772</v>
      </c>
      <c r="D264">
        <v>116563</v>
      </c>
      <c r="E264">
        <v>587</v>
      </c>
      <c r="F264">
        <v>0.42</v>
      </c>
      <c r="G264">
        <v>0</v>
      </c>
      <c r="H264" t="s">
        <v>19</v>
      </c>
      <c r="I264" t="s">
        <v>13</v>
      </c>
      <c r="J264">
        <v>16</v>
      </c>
    </row>
    <row r="265" spans="1:10" x14ac:dyDescent="0.25">
      <c r="A265" t="s">
        <v>287</v>
      </c>
      <c r="B265" t="s">
        <v>15</v>
      </c>
      <c r="C265" s="1">
        <v>45886</v>
      </c>
      <c r="D265">
        <v>92501</v>
      </c>
      <c r="E265">
        <v>588</v>
      </c>
      <c r="F265">
        <v>0.56999999999999995</v>
      </c>
      <c r="G265">
        <v>2</v>
      </c>
      <c r="H265" t="s">
        <v>41</v>
      </c>
      <c r="I265" t="s">
        <v>17</v>
      </c>
      <c r="J265">
        <v>12</v>
      </c>
    </row>
    <row r="266" spans="1:10" x14ac:dyDescent="0.25">
      <c r="A266" t="s">
        <v>288</v>
      </c>
      <c r="B266" t="s">
        <v>21</v>
      </c>
      <c r="C266" s="1">
        <v>45611</v>
      </c>
      <c r="D266">
        <v>112135</v>
      </c>
      <c r="E266">
        <v>473</v>
      </c>
      <c r="F266">
        <v>0.47</v>
      </c>
      <c r="G266">
        <v>6</v>
      </c>
      <c r="H266" t="s">
        <v>19</v>
      </c>
      <c r="I266" t="s">
        <v>23</v>
      </c>
      <c r="J266">
        <v>21</v>
      </c>
    </row>
    <row r="267" spans="1:10" x14ac:dyDescent="0.25">
      <c r="A267" t="s">
        <v>289</v>
      </c>
      <c r="B267" t="s">
        <v>21</v>
      </c>
      <c r="C267" s="1">
        <v>45315</v>
      </c>
      <c r="D267">
        <v>86022</v>
      </c>
      <c r="E267">
        <v>779</v>
      </c>
      <c r="F267">
        <v>0.56999999999999995</v>
      </c>
      <c r="G267">
        <v>3</v>
      </c>
      <c r="H267" t="s">
        <v>12</v>
      </c>
      <c r="I267" t="s">
        <v>17</v>
      </c>
      <c r="J267">
        <v>31</v>
      </c>
    </row>
    <row r="268" spans="1:10" x14ac:dyDescent="0.25">
      <c r="A268" t="s">
        <v>290</v>
      </c>
      <c r="B268" t="s">
        <v>15</v>
      </c>
      <c r="C268" s="1">
        <v>45503</v>
      </c>
      <c r="D268">
        <v>123293</v>
      </c>
      <c r="E268">
        <v>724</v>
      </c>
      <c r="F268">
        <v>0.57999999999999996</v>
      </c>
      <c r="G268">
        <v>1</v>
      </c>
      <c r="H268" t="s">
        <v>22</v>
      </c>
      <c r="I268" t="s">
        <v>23</v>
      </c>
      <c r="J268">
        <v>25</v>
      </c>
    </row>
    <row r="269" spans="1:10" x14ac:dyDescent="0.25">
      <c r="A269" t="s">
        <v>291</v>
      </c>
      <c r="B269" t="s">
        <v>15</v>
      </c>
      <c r="C269" s="1">
        <v>45484</v>
      </c>
      <c r="D269">
        <v>138394</v>
      </c>
      <c r="E269">
        <v>790</v>
      </c>
      <c r="F269">
        <v>0.18</v>
      </c>
      <c r="G269">
        <v>0</v>
      </c>
      <c r="H269" t="s">
        <v>19</v>
      </c>
      <c r="I269" t="s">
        <v>13</v>
      </c>
      <c r="J269">
        <v>25</v>
      </c>
    </row>
    <row r="270" spans="1:10" x14ac:dyDescent="0.25">
      <c r="A270" t="s">
        <v>292</v>
      </c>
      <c r="B270" t="s">
        <v>11</v>
      </c>
      <c r="C270" s="1">
        <v>45826</v>
      </c>
      <c r="D270">
        <v>96643</v>
      </c>
      <c r="E270">
        <v>670</v>
      </c>
      <c r="F270">
        <v>0.25</v>
      </c>
      <c r="G270">
        <v>0</v>
      </c>
      <c r="H270" t="s">
        <v>27</v>
      </c>
      <c r="I270" t="s">
        <v>13</v>
      </c>
      <c r="J270">
        <v>14</v>
      </c>
    </row>
    <row r="271" spans="1:10" x14ac:dyDescent="0.25">
      <c r="A271" t="s">
        <v>293</v>
      </c>
      <c r="B271" t="s">
        <v>43</v>
      </c>
      <c r="C271" s="1">
        <v>45734</v>
      </c>
      <c r="D271">
        <v>119840</v>
      </c>
      <c r="E271">
        <v>786</v>
      </c>
      <c r="F271">
        <v>0.48</v>
      </c>
      <c r="G271">
        <v>0</v>
      </c>
      <c r="H271" t="s">
        <v>12</v>
      </c>
      <c r="I271" t="s">
        <v>13</v>
      </c>
      <c r="J271">
        <v>17</v>
      </c>
    </row>
    <row r="272" spans="1:10" x14ac:dyDescent="0.25">
      <c r="A272" t="s">
        <v>294</v>
      </c>
      <c r="B272" t="s">
        <v>15</v>
      </c>
      <c r="C272" s="1">
        <v>45545</v>
      </c>
      <c r="D272">
        <v>114803</v>
      </c>
      <c r="E272">
        <v>759</v>
      </c>
      <c r="F272">
        <v>0.25</v>
      </c>
      <c r="G272">
        <v>2</v>
      </c>
      <c r="H272" t="s">
        <v>12</v>
      </c>
      <c r="I272" t="s">
        <v>23</v>
      </c>
      <c r="J272">
        <v>23</v>
      </c>
    </row>
    <row r="273" spans="1:10" x14ac:dyDescent="0.25">
      <c r="A273" t="s">
        <v>295</v>
      </c>
      <c r="B273" t="s">
        <v>21</v>
      </c>
      <c r="C273" s="1">
        <v>45848</v>
      </c>
      <c r="D273">
        <v>90816</v>
      </c>
      <c r="E273">
        <v>626</v>
      </c>
      <c r="F273">
        <v>0.21</v>
      </c>
      <c r="G273">
        <v>3</v>
      </c>
      <c r="H273" t="s">
        <v>12</v>
      </c>
      <c r="I273" t="s">
        <v>23</v>
      </c>
      <c r="J273">
        <v>13</v>
      </c>
    </row>
    <row r="274" spans="1:10" x14ac:dyDescent="0.25">
      <c r="A274" t="s">
        <v>296</v>
      </c>
      <c r="B274" t="s">
        <v>15</v>
      </c>
      <c r="C274" s="1">
        <v>45538</v>
      </c>
      <c r="D274">
        <v>15261</v>
      </c>
      <c r="E274">
        <v>749</v>
      </c>
      <c r="F274">
        <v>0.37</v>
      </c>
      <c r="G274">
        <v>1</v>
      </c>
      <c r="H274" t="s">
        <v>19</v>
      </c>
      <c r="I274" t="s">
        <v>23</v>
      </c>
      <c r="J274">
        <v>24</v>
      </c>
    </row>
    <row r="275" spans="1:10" x14ac:dyDescent="0.25">
      <c r="A275" t="s">
        <v>297</v>
      </c>
      <c r="B275" t="s">
        <v>21</v>
      </c>
      <c r="C275" s="1">
        <v>45673</v>
      </c>
      <c r="D275">
        <v>131717</v>
      </c>
      <c r="E275">
        <v>627</v>
      </c>
      <c r="F275">
        <v>0.6</v>
      </c>
      <c r="G275">
        <v>0</v>
      </c>
      <c r="H275" t="s">
        <v>19</v>
      </c>
      <c r="I275" t="s">
        <v>13</v>
      </c>
      <c r="J275">
        <v>19</v>
      </c>
    </row>
    <row r="276" spans="1:10" x14ac:dyDescent="0.25">
      <c r="A276" t="s">
        <v>298</v>
      </c>
      <c r="B276" t="s">
        <v>21</v>
      </c>
      <c r="C276" s="1">
        <v>45939</v>
      </c>
      <c r="D276">
        <v>50328</v>
      </c>
      <c r="E276">
        <v>536</v>
      </c>
      <c r="F276">
        <v>0.28999999999999998</v>
      </c>
      <c r="G276">
        <v>0</v>
      </c>
      <c r="H276" t="s">
        <v>19</v>
      </c>
      <c r="I276" t="s">
        <v>13</v>
      </c>
      <c r="J276">
        <v>11</v>
      </c>
    </row>
    <row r="277" spans="1:10" x14ac:dyDescent="0.25">
      <c r="A277" t="s">
        <v>299</v>
      </c>
      <c r="B277" t="s">
        <v>21</v>
      </c>
      <c r="C277" s="1">
        <v>45983</v>
      </c>
      <c r="D277">
        <v>90693</v>
      </c>
      <c r="E277">
        <v>731</v>
      </c>
      <c r="F277">
        <v>0.31</v>
      </c>
      <c r="G277">
        <v>0</v>
      </c>
      <c r="H277" t="s">
        <v>19</v>
      </c>
      <c r="I277" t="s">
        <v>17</v>
      </c>
      <c r="J277">
        <v>9</v>
      </c>
    </row>
    <row r="278" spans="1:10" x14ac:dyDescent="0.25">
      <c r="A278" t="s">
        <v>300</v>
      </c>
      <c r="B278" t="s">
        <v>21</v>
      </c>
      <c r="C278" s="1">
        <v>45839</v>
      </c>
      <c r="D278">
        <v>79612</v>
      </c>
      <c r="E278">
        <v>560</v>
      </c>
      <c r="F278">
        <v>0.55000000000000004</v>
      </c>
      <c r="G278">
        <v>0</v>
      </c>
      <c r="H278" t="s">
        <v>19</v>
      </c>
      <c r="I278" t="s">
        <v>13</v>
      </c>
      <c r="J278">
        <v>14</v>
      </c>
    </row>
    <row r="279" spans="1:10" x14ac:dyDescent="0.25">
      <c r="A279" t="s">
        <v>301</v>
      </c>
      <c r="B279" t="s">
        <v>11</v>
      </c>
      <c r="C279" s="1">
        <v>45752</v>
      </c>
      <c r="D279">
        <v>142391</v>
      </c>
      <c r="E279">
        <v>606</v>
      </c>
      <c r="F279">
        <v>0.57999999999999996</v>
      </c>
      <c r="G279">
        <v>0</v>
      </c>
      <c r="H279" t="s">
        <v>22</v>
      </c>
      <c r="I279" t="s">
        <v>13</v>
      </c>
      <c r="J279">
        <v>17</v>
      </c>
    </row>
    <row r="280" spans="1:10" x14ac:dyDescent="0.25">
      <c r="A280" t="s">
        <v>302</v>
      </c>
      <c r="B280" t="s">
        <v>15</v>
      </c>
      <c r="C280" s="1">
        <v>45753</v>
      </c>
      <c r="D280">
        <v>138737</v>
      </c>
      <c r="E280">
        <v>595</v>
      </c>
      <c r="F280">
        <v>0.15</v>
      </c>
      <c r="G280">
        <v>0</v>
      </c>
      <c r="H280" t="s">
        <v>19</v>
      </c>
      <c r="I280" t="s">
        <v>13</v>
      </c>
      <c r="J280">
        <v>17</v>
      </c>
    </row>
    <row r="281" spans="1:10" x14ac:dyDescent="0.25">
      <c r="A281" t="s">
        <v>303</v>
      </c>
      <c r="B281" t="s">
        <v>15</v>
      </c>
      <c r="C281" s="1">
        <v>45977</v>
      </c>
      <c r="D281">
        <v>90181</v>
      </c>
      <c r="E281">
        <v>714</v>
      </c>
      <c r="F281">
        <v>0.65</v>
      </c>
      <c r="G281">
        <v>0</v>
      </c>
      <c r="H281" t="s">
        <v>41</v>
      </c>
      <c r="I281" t="s">
        <v>13</v>
      </c>
      <c r="J281">
        <v>9</v>
      </c>
    </row>
    <row r="282" spans="1:10" x14ac:dyDescent="0.25">
      <c r="A282" t="s">
        <v>304</v>
      </c>
      <c r="B282" t="s">
        <v>43</v>
      </c>
      <c r="C282" s="1">
        <v>45312</v>
      </c>
      <c r="D282">
        <v>69563</v>
      </c>
      <c r="E282">
        <v>824</v>
      </c>
      <c r="F282">
        <v>0.56000000000000005</v>
      </c>
      <c r="G282">
        <v>0</v>
      </c>
      <c r="H282" t="s">
        <v>27</v>
      </c>
      <c r="I282" t="s">
        <v>17</v>
      </c>
      <c r="J282">
        <v>31</v>
      </c>
    </row>
    <row r="283" spans="1:10" x14ac:dyDescent="0.25">
      <c r="A283" t="s">
        <v>305</v>
      </c>
      <c r="B283" t="s">
        <v>21</v>
      </c>
      <c r="C283" s="1">
        <v>45799</v>
      </c>
      <c r="D283">
        <v>66998</v>
      </c>
      <c r="E283">
        <v>614</v>
      </c>
      <c r="F283">
        <v>0.34</v>
      </c>
      <c r="G283">
        <v>4</v>
      </c>
      <c r="H283" t="s">
        <v>41</v>
      </c>
      <c r="I283" t="s">
        <v>17</v>
      </c>
      <c r="J283">
        <v>15</v>
      </c>
    </row>
    <row r="284" spans="1:10" x14ac:dyDescent="0.25">
      <c r="A284" t="s">
        <v>306</v>
      </c>
      <c r="B284" t="s">
        <v>43</v>
      </c>
      <c r="C284" s="1">
        <v>45593</v>
      </c>
      <c r="D284">
        <v>75638</v>
      </c>
      <c r="E284">
        <v>9999</v>
      </c>
      <c r="F284">
        <v>0.65</v>
      </c>
      <c r="G284">
        <v>5</v>
      </c>
      <c r="H284" t="s">
        <v>12</v>
      </c>
      <c r="I284" t="s">
        <v>89</v>
      </c>
      <c r="J284">
        <v>22</v>
      </c>
    </row>
    <row r="285" spans="1:10" x14ac:dyDescent="0.25">
      <c r="A285" t="s">
        <v>307</v>
      </c>
      <c r="B285" t="s">
        <v>21</v>
      </c>
      <c r="C285" s="1">
        <v>45426</v>
      </c>
      <c r="D285">
        <v>71584</v>
      </c>
      <c r="E285">
        <v>612</v>
      </c>
      <c r="F285">
        <v>0.61</v>
      </c>
      <c r="G285">
        <v>0</v>
      </c>
      <c r="H285" t="s">
        <v>19</v>
      </c>
      <c r="I285" t="s">
        <v>13</v>
      </c>
      <c r="J285">
        <v>27</v>
      </c>
    </row>
    <row r="286" spans="1:10" x14ac:dyDescent="0.25">
      <c r="A286" t="s">
        <v>308</v>
      </c>
      <c r="B286" t="s">
        <v>21</v>
      </c>
      <c r="C286" s="1">
        <v>45829</v>
      </c>
      <c r="D286">
        <v>91060</v>
      </c>
      <c r="E286">
        <v>564</v>
      </c>
      <c r="F286">
        <v>0.34</v>
      </c>
      <c r="G286">
        <v>0</v>
      </c>
      <c r="H286" t="s">
        <v>12</v>
      </c>
      <c r="I286" t="s">
        <v>13</v>
      </c>
      <c r="J286">
        <v>14</v>
      </c>
    </row>
    <row r="287" spans="1:10" x14ac:dyDescent="0.25">
      <c r="A287" t="s">
        <v>309</v>
      </c>
      <c r="B287" t="s">
        <v>21</v>
      </c>
      <c r="C287" s="1">
        <v>45714</v>
      </c>
      <c r="D287">
        <v>61249</v>
      </c>
      <c r="E287">
        <v>486</v>
      </c>
      <c r="F287">
        <v>0.16</v>
      </c>
      <c r="G287">
        <v>4</v>
      </c>
      <c r="H287" t="s">
        <v>16</v>
      </c>
      <c r="I287" t="s">
        <v>17</v>
      </c>
      <c r="J287">
        <v>18</v>
      </c>
    </row>
    <row r="288" spans="1:10" x14ac:dyDescent="0.25">
      <c r="A288" t="s">
        <v>310</v>
      </c>
      <c r="B288" t="s">
        <v>11</v>
      </c>
      <c r="C288" s="1">
        <v>45772</v>
      </c>
      <c r="D288">
        <v>30402</v>
      </c>
      <c r="E288">
        <v>496</v>
      </c>
      <c r="F288">
        <v>0.36</v>
      </c>
      <c r="G288">
        <v>1</v>
      </c>
      <c r="H288" t="s">
        <v>19</v>
      </c>
      <c r="I288" t="s">
        <v>23</v>
      </c>
      <c r="J288">
        <v>16</v>
      </c>
    </row>
    <row r="289" spans="1:10" x14ac:dyDescent="0.25">
      <c r="A289" t="s">
        <v>311</v>
      </c>
      <c r="B289" t="s">
        <v>15</v>
      </c>
      <c r="C289" s="1">
        <v>45571</v>
      </c>
      <c r="D289">
        <v>50073</v>
      </c>
      <c r="E289">
        <v>584</v>
      </c>
      <c r="F289">
        <v>0.33</v>
      </c>
      <c r="G289">
        <v>6</v>
      </c>
      <c r="H289" t="s">
        <v>27</v>
      </c>
      <c r="I289" t="s">
        <v>17</v>
      </c>
      <c r="J289">
        <v>23</v>
      </c>
    </row>
    <row r="290" spans="1:10" x14ac:dyDescent="0.25">
      <c r="A290" t="s">
        <v>312</v>
      </c>
      <c r="B290" t="s">
        <v>21</v>
      </c>
      <c r="C290" s="1">
        <v>45499</v>
      </c>
      <c r="D290">
        <v>98188</v>
      </c>
      <c r="E290">
        <v>0</v>
      </c>
      <c r="F290">
        <v>0.5</v>
      </c>
      <c r="G290">
        <v>5</v>
      </c>
      <c r="H290" t="s">
        <v>16</v>
      </c>
      <c r="I290" t="s">
        <v>89</v>
      </c>
      <c r="J290">
        <v>25</v>
      </c>
    </row>
    <row r="291" spans="1:10" x14ac:dyDescent="0.25">
      <c r="A291" t="s">
        <v>313</v>
      </c>
      <c r="B291" t="s">
        <v>21</v>
      </c>
      <c r="C291" s="1">
        <v>45655</v>
      </c>
      <c r="D291">
        <v>78840</v>
      </c>
      <c r="E291">
        <v>561</v>
      </c>
      <c r="F291">
        <v>0.23</v>
      </c>
      <c r="G291">
        <v>0</v>
      </c>
      <c r="H291" t="s">
        <v>19</v>
      </c>
      <c r="I291" t="s">
        <v>13</v>
      </c>
      <c r="J291">
        <v>20</v>
      </c>
    </row>
    <row r="292" spans="1:10" x14ac:dyDescent="0.25">
      <c r="A292" t="s">
        <v>314</v>
      </c>
      <c r="B292" t="s">
        <v>15</v>
      </c>
      <c r="C292" s="1">
        <v>45600</v>
      </c>
      <c r="D292">
        <v>41741</v>
      </c>
      <c r="E292">
        <v>739</v>
      </c>
      <c r="F292">
        <v>0.19</v>
      </c>
      <c r="G292">
        <v>0</v>
      </c>
      <c r="H292" t="s">
        <v>41</v>
      </c>
      <c r="I292" t="s">
        <v>13</v>
      </c>
      <c r="J292">
        <v>22</v>
      </c>
    </row>
    <row r="293" spans="1:10" x14ac:dyDescent="0.25">
      <c r="A293" t="s">
        <v>315</v>
      </c>
      <c r="B293" t="s">
        <v>15</v>
      </c>
      <c r="C293" s="1">
        <v>45671</v>
      </c>
      <c r="D293">
        <v>55702</v>
      </c>
      <c r="E293">
        <v>630</v>
      </c>
      <c r="F293">
        <v>0.23</v>
      </c>
      <c r="G293">
        <v>2</v>
      </c>
      <c r="H293" t="s">
        <v>19</v>
      </c>
      <c r="I293" t="s">
        <v>17</v>
      </c>
      <c r="J293">
        <v>19</v>
      </c>
    </row>
    <row r="294" spans="1:10" x14ac:dyDescent="0.25">
      <c r="A294" t="s">
        <v>316</v>
      </c>
      <c r="B294" t="s">
        <v>21</v>
      </c>
      <c r="C294" s="1">
        <v>45841</v>
      </c>
      <c r="D294">
        <v>93605</v>
      </c>
      <c r="E294">
        <v>570</v>
      </c>
      <c r="F294">
        <v>0.23</v>
      </c>
      <c r="G294">
        <v>2</v>
      </c>
      <c r="H294" t="s">
        <v>41</v>
      </c>
      <c r="I294" t="s">
        <v>23</v>
      </c>
      <c r="J294">
        <v>14</v>
      </c>
    </row>
    <row r="295" spans="1:10" x14ac:dyDescent="0.25">
      <c r="A295" t="s">
        <v>317</v>
      </c>
      <c r="B295" t="s">
        <v>21</v>
      </c>
      <c r="C295" s="1">
        <v>45633</v>
      </c>
      <c r="D295">
        <v>52537</v>
      </c>
      <c r="E295">
        <v>818</v>
      </c>
      <c r="F295">
        <v>0.26</v>
      </c>
      <c r="G295">
        <v>2</v>
      </c>
      <c r="H295" t="s">
        <v>22</v>
      </c>
      <c r="I295" t="s">
        <v>17</v>
      </c>
      <c r="J295">
        <v>21</v>
      </c>
    </row>
    <row r="296" spans="1:10" x14ac:dyDescent="0.25">
      <c r="A296" t="s">
        <v>318</v>
      </c>
      <c r="B296" t="s">
        <v>21</v>
      </c>
      <c r="C296" s="1">
        <v>45720</v>
      </c>
      <c r="D296">
        <v>80359</v>
      </c>
      <c r="E296">
        <v>736</v>
      </c>
      <c r="F296">
        <v>0.53</v>
      </c>
      <c r="G296">
        <v>0</v>
      </c>
      <c r="H296" t="s">
        <v>19</v>
      </c>
      <c r="I296" t="s">
        <v>13</v>
      </c>
      <c r="J296">
        <v>18</v>
      </c>
    </row>
    <row r="297" spans="1:10" x14ac:dyDescent="0.25">
      <c r="A297" t="s">
        <v>319</v>
      </c>
      <c r="B297" t="s">
        <v>21</v>
      </c>
      <c r="C297" s="1">
        <v>45976</v>
      </c>
      <c r="D297">
        <v>62667</v>
      </c>
      <c r="E297">
        <v>643</v>
      </c>
      <c r="F297">
        <v>0.18</v>
      </c>
      <c r="G297">
        <v>0</v>
      </c>
      <c r="H297" t="s">
        <v>19</v>
      </c>
      <c r="I297" t="s">
        <v>13</v>
      </c>
      <c r="J297">
        <v>9</v>
      </c>
    </row>
    <row r="298" spans="1:10" x14ac:dyDescent="0.25">
      <c r="A298" t="s">
        <v>320</v>
      </c>
      <c r="B298" t="s">
        <v>21</v>
      </c>
      <c r="C298" s="1">
        <v>45846</v>
      </c>
      <c r="D298">
        <v>39678</v>
      </c>
      <c r="E298">
        <v>747</v>
      </c>
      <c r="F298">
        <v>0.41</v>
      </c>
      <c r="G298">
        <v>0</v>
      </c>
      <c r="H298" t="s">
        <v>22</v>
      </c>
      <c r="I298" t="s">
        <v>17</v>
      </c>
      <c r="J298">
        <v>14</v>
      </c>
    </row>
    <row r="299" spans="1:10" x14ac:dyDescent="0.25">
      <c r="A299" t="s">
        <v>321</v>
      </c>
      <c r="B299" t="s">
        <v>15</v>
      </c>
      <c r="C299" s="1">
        <v>45836</v>
      </c>
      <c r="D299">
        <v>92243</v>
      </c>
      <c r="E299">
        <v>514</v>
      </c>
      <c r="F299">
        <v>0.33</v>
      </c>
      <c r="G299">
        <v>3</v>
      </c>
      <c r="H299" t="s">
        <v>27</v>
      </c>
      <c r="I299" t="s">
        <v>23</v>
      </c>
      <c r="J299">
        <v>14</v>
      </c>
    </row>
    <row r="300" spans="1:10" x14ac:dyDescent="0.25">
      <c r="A300" t="s">
        <v>322</v>
      </c>
      <c r="B300" t="s">
        <v>15</v>
      </c>
      <c r="C300" s="1">
        <v>45667</v>
      </c>
      <c r="D300">
        <v>116153</v>
      </c>
      <c r="E300">
        <v>656</v>
      </c>
      <c r="F300">
        <v>0.64</v>
      </c>
      <c r="G300">
        <v>6</v>
      </c>
      <c r="H300" t="s">
        <v>41</v>
      </c>
      <c r="I300" t="s">
        <v>23</v>
      </c>
      <c r="J300">
        <v>19</v>
      </c>
    </row>
    <row r="301" spans="1:10" x14ac:dyDescent="0.25">
      <c r="A301" t="s">
        <v>323</v>
      </c>
      <c r="B301" t="s">
        <v>15</v>
      </c>
      <c r="C301" s="1">
        <v>45337</v>
      </c>
      <c r="D301">
        <v>117183</v>
      </c>
      <c r="E301">
        <v>647</v>
      </c>
      <c r="F301">
        <v>0.6</v>
      </c>
      <c r="G301">
        <v>0</v>
      </c>
      <c r="H301" t="s">
        <v>12</v>
      </c>
      <c r="I301" t="s">
        <v>13</v>
      </c>
      <c r="J301">
        <v>30</v>
      </c>
    </row>
    <row r="302" spans="1:10" x14ac:dyDescent="0.25">
      <c r="A302" t="s">
        <v>324</v>
      </c>
      <c r="B302" t="s">
        <v>15</v>
      </c>
      <c r="C302" s="1">
        <v>45546</v>
      </c>
      <c r="D302">
        <v>102169</v>
      </c>
      <c r="E302">
        <v>773</v>
      </c>
      <c r="F302">
        <v>0.55000000000000004</v>
      </c>
      <c r="G302">
        <v>6</v>
      </c>
      <c r="H302" t="s">
        <v>22</v>
      </c>
      <c r="I302" t="s">
        <v>23</v>
      </c>
      <c r="J302">
        <v>23</v>
      </c>
    </row>
    <row r="303" spans="1:10" x14ac:dyDescent="0.25">
      <c r="A303" t="s">
        <v>325</v>
      </c>
      <c r="B303" t="s">
        <v>15</v>
      </c>
      <c r="C303" s="1">
        <v>45975</v>
      </c>
      <c r="D303">
        <v>29852</v>
      </c>
      <c r="E303">
        <v>490</v>
      </c>
      <c r="F303">
        <v>0.33</v>
      </c>
      <c r="G303">
        <v>0</v>
      </c>
      <c r="H303" t="s">
        <v>41</v>
      </c>
      <c r="I303" t="s">
        <v>13</v>
      </c>
      <c r="J303">
        <v>9</v>
      </c>
    </row>
    <row r="304" spans="1:10" x14ac:dyDescent="0.25">
      <c r="A304" t="s">
        <v>326</v>
      </c>
      <c r="B304" t="s">
        <v>15</v>
      </c>
      <c r="C304" s="1">
        <v>45816</v>
      </c>
      <c r="D304">
        <v>22078</v>
      </c>
      <c r="E304">
        <v>786</v>
      </c>
      <c r="F304">
        <v>0.53</v>
      </c>
      <c r="G304">
        <v>2</v>
      </c>
      <c r="H304" t="s">
        <v>12</v>
      </c>
      <c r="I304" t="s">
        <v>23</v>
      </c>
      <c r="J304">
        <v>15</v>
      </c>
    </row>
    <row r="305" spans="1:10" x14ac:dyDescent="0.25">
      <c r="A305" t="s">
        <v>327</v>
      </c>
      <c r="B305" t="s">
        <v>21</v>
      </c>
      <c r="C305" s="1">
        <v>45828</v>
      </c>
      <c r="D305">
        <v>9206</v>
      </c>
      <c r="E305">
        <v>696</v>
      </c>
      <c r="F305">
        <v>0.39</v>
      </c>
      <c r="G305">
        <v>0</v>
      </c>
      <c r="H305" t="s">
        <v>19</v>
      </c>
      <c r="I305" t="s">
        <v>13</v>
      </c>
      <c r="J305">
        <v>14</v>
      </c>
    </row>
    <row r="306" spans="1:10" x14ac:dyDescent="0.25">
      <c r="A306" t="s">
        <v>328</v>
      </c>
      <c r="B306" t="s">
        <v>43</v>
      </c>
      <c r="C306" s="1">
        <v>45813</v>
      </c>
      <c r="D306">
        <v>24390</v>
      </c>
      <c r="E306">
        <v>625</v>
      </c>
      <c r="F306">
        <v>0.51</v>
      </c>
      <c r="G306">
        <v>0</v>
      </c>
      <c r="H306" t="s">
        <v>12</v>
      </c>
      <c r="I306" t="s">
        <v>17</v>
      </c>
      <c r="J306">
        <v>15</v>
      </c>
    </row>
    <row r="307" spans="1:10" x14ac:dyDescent="0.25">
      <c r="A307" t="s">
        <v>329</v>
      </c>
      <c r="B307" t="s">
        <v>21</v>
      </c>
      <c r="C307" s="1">
        <v>45871</v>
      </c>
      <c r="D307">
        <v>59594</v>
      </c>
      <c r="E307">
        <v>0</v>
      </c>
      <c r="F307">
        <v>0.16</v>
      </c>
      <c r="G307">
        <v>0</v>
      </c>
      <c r="H307" t="s">
        <v>12</v>
      </c>
      <c r="I307" t="s">
        <v>13</v>
      </c>
      <c r="J307">
        <v>13</v>
      </c>
    </row>
    <row r="308" spans="1:10" x14ac:dyDescent="0.25">
      <c r="A308" t="s">
        <v>330</v>
      </c>
      <c r="B308" t="s">
        <v>43</v>
      </c>
      <c r="C308" s="1">
        <v>45447</v>
      </c>
      <c r="D308">
        <v>40004</v>
      </c>
      <c r="E308">
        <v>581</v>
      </c>
      <c r="F308">
        <v>0.25</v>
      </c>
      <c r="G308">
        <v>0</v>
      </c>
      <c r="H308" t="s">
        <v>19</v>
      </c>
      <c r="I308" t="s">
        <v>13</v>
      </c>
      <c r="J308">
        <v>27</v>
      </c>
    </row>
    <row r="309" spans="1:10" x14ac:dyDescent="0.25">
      <c r="A309" t="s">
        <v>331</v>
      </c>
      <c r="B309" t="s">
        <v>21</v>
      </c>
      <c r="C309" s="1">
        <v>45457</v>
      </c>
      <c r="D309">
        <v>21736</v>
      </c>
      <c r="E309">
        <v>530</v>
      </c>
      <c r="F309">
        <v>0.23</v>
      </c>
      <c r="G309">
        <v>0</v>
      </c>
      <c r="H309" t="s">
        <v>41</v>
      </c>
      <c r="I309" t="s">
        <v>13</v>
      </c>
      <c r="J309">
        <v>26</v>
      </c>
    </row>
    <row r="310" spans="1:10" x14ac:dyDescent="0.25">
      <c r="A310" t="s">
        <v>332</v>
      </c>
      <c r="B310" t="s">
        <v>43</v>
      </c>
      <c r="C310" s="1">
        <v>45788</v>
      </c>
      <c r="D310">
        <v>43817</v>
      </c>
      <c r="E310">
        <v>763</v>
      </c>
      <c r="F310">
        <v>0.3</v>
      </c>
      <c r="G310">
        <v>0</v>
      </c>
      <c r="H310" t="s">
        <v>22</v>
      </c>
      <c r="I310" t="s">
        <v>13</v>
      </c>
      <c r="J310">
        <v>15</v>
      </c>
    </row>
    <row r="311" spans="1:10" x14ac:dyDescent="0.25">
      <c r="A311" t="s">
        <v>333</v>
      </c>
      <c r="B311" t="s">
        <v>15</v>
      </c>
      <c r="C311" s="1">
        <v>45821</v>
      </c>
      <c r="D311">
        <v>108507</v>
      </c>
      <c r="E311">
        <v>603</v>
      </c>
      <c r="F311">
        <v>0.44</v>
      </c>
      <c r="G311">
        <v>5</v>
      </c>
      <c r="H311" t="s">
        <v>16</v>
      </c>
      <c r="I311" t="s">
        <v>23</v>
      </c>
      <c r="J311">
        <v>14</v>
      </c>
    </row>
    <row r="312" spans="1:10" x14ac:dyDescent="0.25">
      <c r="A312" t="s">
        <v>334</v>
      </c>
      <c r="B312" t="s">
        <v>21</v>
      </c>
      <c r="C312" s="1">
        <v>45676</v>
      </c>
      <c r="D312">
        <v>76764</v>
      </c>
      <c r="E312">
        <v>658</v>
      </c>
      <c r="F312">
        <v>0.44</v>
      </c>
      <c r="G312">
        <v>0</v>
      </c>
      <c r="H312" t="s">
        <v>41</v>
      </c>
      <c r="I312" t="s">
        <v>13</v>
      </c>
      <c r="J312">
        <v>19</v>
      </c>
    </row>
    <row r="313" spans="1:10" x14ac:dyDescent="0.25">
      <c r="A313" t="s">
        <v>335</v>
      </c>
      <c r="B313" t="s">
        <v>21</v>
      </c>
      <c r="C313" s="1">
        <v>45407</v>
      </c>
      <c r="D313">
        <v>146048</v>
      </c>
      <c r="E313">
        <v>535</v>
      </c>
      <c r="F313">
        <v>0.19</v>
      </c>
      <c r="G313">
        <v>0</v>
      </c>
      <c r="H313" t="s">
        <v>27</v>
      </c>
      <c r="I313" t="s">
        <v>13</v>
      </c>
      <c r="J313">
        <v>28</v>
      </c>
    </row>
    <row r="314" spans="1:10" x14ac:dyDescent="0.25">
      <c r="A314" t="s">
        <v>336</v>
      </c>
      <c r="B314" t="s">
        <v>21</v>
      </c>
      <c r="C314" s="1">
        <v>45530</v>
      </c>
      <c r="D314">
        <v>135935</v>
      </c>
      <c r="E314">
        <v>825</v>
      </c>
      <c r="F314">
        <v>0.4</v>
      </c>
      <c r="G314">
        <v>2</v>
      </c>
      <c r="H314" t="s">
        <v>16</v>
      </c>
      <c r="I314" t="s">
        <v>23</v>
      </c>
      <c r="J314">
        <v>24</v>
      </c>
    </row>
    <row r="315" spans="1:10" x14ac:dyDescent="0.25">
      <c r="A315" t="s">
        <v>337</v>
      </c>
      <c r="B315" t="s">
        <v>21</v>
      </c>
      <c r="C315" s="1">
        <v>45541</v>
      </c>
      <c r="D315">
        <v>59708</v>
      </c>
      <c r="E315">
        <v>502</v>
      </c>
      <c r="F315">
        <v>0.57999999999999996</v>
      </c>
      <c r="G315">
        <v>0</v>
      </c>
      <c r="H315" t="s">
        <v>27</v>
      </c>
      <c r="I315" t="s">
        <v>13</v>
      </c>
      <c r="J315">
        <v>24</v>
      </c>
    </row>
    <row r="316" spans="1:10" x14ac:dyDescent="0.25">
      <c r="A316" t="s">
        <v>338</v>
      </c>
      <c r="B316" t="s">
        <v>43</v>
      </c>
      <c r="C316" s="1">
        <v>45777</v>
      </c>
      <c r="D316">
        <v>96435</v>
      </c>
      <c r="E316">
        <v>458</v>
      </c>
      <c r="F316">
        <v>0.43</v>
      </c>
      <c r="G316">
        <v>0</v>
      </c>
      <c r="H316" t="s">
        <v>12</v>
      </c>
      <c r="I316" t="s">
        <v>13</v>
      </c>
      <c r="J316">
        <v>16</v>
      </c>
    </row>
    <row r="317" spans="1:10" x14ac:dyDescent="0.25">
      <c r="A317" t="s">
        <v>339</v>
      </c>
      <c r="B317" t="s">
        <v>11</v>
      </c>
      <c r="C317" s="1">
        <v>45534</v>
      </c>
      <c r="D317">
        <v>90611</v>
      </c>
      <c r="E317">
        <v>595</v>
      </c>
      <c r="F317">
        <v>0.15</v>
      </c>
      <c r="G317">
        <v>0</v>
      </c>
      <c r="H317" t="s">
        <v>12</v>
      </c>
      <c r="I317" t="s">
        <v>17</v>
      </c>
      <c r="J317">
        <v>24</v>
      </c>
    </row>
    <row r="318" spans="1:10" x14ac:dyDescent="0.25">
      <c r="A318" t="s">
        <v>340</v>
      </c>
      <c r="B318" t="s">
        <v>11</v>
      </c>
      <c r="C318" s="1">
        <v>45439</v>
      </c>
      <c r="D318">
        <v>100521</v>
      </c>
      <c r="E318">
        <v>695</v>
      </c>
      <c r="F318">
        <v>0.51</v>
      </c>
      <c r="G318">
        <v>0</v>
      </c>
      <c r="H318" t="s">
        <v>12</v>
      </c>
      <c r="I318" t="s">
        <v>13</v>
      </c>
      <c r="J318">
        <v>27</v>
      </c>
    </row>
    <row r="319" spans="1:10" x14ac:dyDescent="0.25">
      <c r="A319" t="s">
        <v>341</v>
      </c>
      <c r="B319" t="s">
        <v>11</v>
      </c>
      <c r="C319" s="1">
        <v>45407</v>
      </c>
      <c r="D319">
        <v>30173</v>
      </c>
      <c r="E319">
        <v>497</v>
      </c>
      <c r="F319">
        <v>0.25</v>
      </c>
      <c r="G319">
        <v>6</v>
      </c>
      <c r="H319" t="s">
        <v>41</v>
      </c>
      <c r="I319" t="s">
        <v>17</v>
      </c>
      <c r="J319">
        <v>28</v>
      </c>
    </row>
    <row r="320" spans="1:10" x14ac:dyDescent="0.25">
      <c r="A320" t="s">
        <v>342</v>
      </c>
      <c r="B320" t="s">
        <v>15</v>
      </c>
      <c r="C320" s="1">
        <v>45888</v>
      </c>
      <c r="D320">
        <v>124489</v>
      </c>
      <c r="E320">
        <v>747</v>
      </c>
      <c r="F320">
        <v>0.61</v>
      </c>
      <c r="G320">
        <v>1</v>
      </c>
      <c r="H320" t="s">
        <v>41</v>
      </c>
      <c r="I320" t="s">
        <v>23</v>
      </c>
      <c r="J320">
        <v>12</v>
      </c>
    </row>
    <row r="321" spans="1:10" x14ac:dyDescent="0.25">
      <c r="A321" t="s">
        <v>343</v>
      </c>
      <c r="B321" t="s">
        <v>15</v>
      </c>
      <c r="C321" s="1">
        <v>45495</v>
      </c>
      <c r="D321">
        <v>131081</v>
      </c>
      <c r="E321">
        <v>576</v>
      </c>
      <c r="F321">
        <v>0.18</v>
      </c>
      <c r="G321">
        <v>0</v>
      </c>
      <c r="H321" t="s">
        <v>22</v>
      </c>
      <c r="I321" t="s">
        <v>13</v>
      </c>
      <c r="J321">
        <v>25</v>
      </c>
    </row>
    <row r="322" spans="1:10" x14ac:dyDescent="0.25">
      <c r="A322" t="s">
        <v>344</v>
      </c>
      <c r="B322" t="s">
        <v>21</v>
      </c>
      <c r="C322" s="1">
        <v>45548</v>
      </c>
      <c r="D322">
        <v>133620</v>
      </c>
      <c r="E322">
        <v>690</v>
      </c>
      <c r="F322">
        <v>0.34</v>
      </c>
      <c r="G322">
        <v>0</v>
      </c>
      <c r="H322" t="s">
        <v>16</v>
      </c>
      <c r="I322" t="s">
        <v>13</v>
      </c>
      <c r="J322">
        <v>23</v>
      </c>
    </row>
    <row r="323" spans="1:10" x14ac:dyDescent="0.25">
      <c r="A323" t="s">
        <v>345</v>
      </c>
      <c r="B323" t="s">
        <v>21</v>
      </c>
      <c r="C323" s="1">
        <v>45599</v>
      </c>
      <c r="D323">
        <v>113268</v>
      </c>
      <c r="E323">
        <v>712</v>
      </c>
      <c r="F323">
        <v>0.23</v>
      </c>
      <c r="G323">
        <v>0</v>
      </c>
      <c r="H323" t="s">
        <v>16</v>
      </c>
      <c r="I323" t="s">
        <v>13</v>
      </c>
      <c r="J323">
        <v>22</v>
      </c>
    </row>
    <row r="324" spans="1:10" x14ac:dyDescent="0.25">
      <c r="A324" t="s">
        <v>346</v>
      </c>
      <c r="B324" t="s">
        <v>11</v>
      </c>
      <c r="C324" s="1">
        <v>45968</v>
      </c>
      <c r="D324">
        <v>53824</v>
      </c>
      <c r="E324">
        <v>688</v>
      </c>
      <c r="F324">
        <v>0.36</v>
      </c>
      <c r="G324">
        <v>0</v>
      </c>
      <c r="H324" t="s">
        <v>22</v>
      </c>
      <c r="I324" t="s">
        <v>13</v>
      </c>
      <c r="J324">
        <v>10</v>
      </c>
    </row>
    <row r="325" spans="1:10" x14ac:dyDescent="0.25">
      <c r="A325" t="s">
        <v>347</v>
      </c>
      <c r="B325" t="s">
        <v>15</v>
      </c>
      <c r="C325" s="1">
        <v>45422</v>
      </c>
      <c r="D325">
        <v>87132</v>
      </c>
      <c r="E325">
        <v>718</v>
      </c>
      <c r="F325">
        <v>0.28999999999999998</v>
      </c>
      <c r="G325">
        <v>0</v>
      </c>
      <c r="H325" t="s">
        <v>19</v>
      </c>
      <c r="I325" t="s">
        <v>13</v>
      </c>
      <c r="J325">
        <v>27</v>
      </c>
    </row>
    <row r="326" spans="1:10" x14ac:dyDescent="0.25">
      <c r="A326" t="s">
        <v>348</v>
      </c>
      <c r="B326" t="s">
        <v>43</v>
      </c>
      <c r="C326" s="1">
        <v>45351</v>
      </c>
      <c r="D326">
        <v>79607</v>
      </c>
      <c r="E326">
        <v>823</v>
      </c>
      <c r="F326">
        <v>0.43</v>
      </c>
      <c r="G326">
        <v>0</v>
      </c>
      <c r="H326" t="s">
        <v>27</v>
      </c>
      <c r="I326" t="s">
        <v>13</v>
      </c>
      <c r="J326">
        <v>30</v>
      </c>
    </row>
    <row r="327" spans="1:10" x14ac:dyDescent="0.25">
      <c r="A327" t="s">
        <v>349</v>
      </c>
      <c r="B327" t="s">
        <v>21</v>
      </c>
      <c r="C327" s="1">
        <v>45420</v>
      </c>
      <c r="D327">
        <v>70796</v>
      </c>
      <c r="E327">
        <v>847</v>
      </c>
      <c r="F327">
        <v>0.52</v>
      </c>
      <c r="G327">
        <v>0</v>
      </c>
      <c r="H327" t="s">
        <v>12</v>
      </c>
      <c r="I327" t="s">
        <v>13</v>
      </c>
      <c r="J327">
        <v>28</v>
      </c>
    </row>
    <row r="328" spans="1:10" x14ac:dyDescent="0.25">
      <c r="A328" t="s">
        <v>350</v>
      </c>
      <c r="B328" t="s">
        <v>43</v>
      </c>
      <c r="C328" s="1">
        <v>45416</v>
      </c>
      <c r="D328">
        <v>87906</v>
      </c>
      <c r="E328">
        <v>808</v>
      </c>
      <c r="F328">
        <v>0.59</v>
      </c>
      <c r="G328">
        <v>3</v>
      </c>
      <c r="H328" t="s">
        <v>41</v>
      </c>
      <c r="I328" t="s">
        <v>17</v>
      </c>
      <c r="J328">
        <v>28</v>
      </c>
    </row>
    <row r="329" spans="1:10" x14ac:dyDescent="0.25">
      <c r="A329" t="s">
        <v>351</v>
      </c>
      <c r="B329" t="s">
        <v>15</v>
      </c>
      <c r="C329" s="1">
        <v>45608</v>
      </c>
      <c r="D329">
        <v>61601</v>
      </c>
      <c r="E329">
        <v>788</v>
      </c>
      <c r="F329">
        <v>0.34</v>
      </c>
      <c r="G329">
        <v>5</v>
      </c>
      <c r="H329" t="s">
        <v>27</v>
      </c>
      <c r="I329" t="s">
        <v>23</v>
      </c>
      <c r="J329">
        <v>21</v>
      </c>
    </row>
    <row r="330" spans="1:10" x14ac:dyDescent="0.25">
      <c r="A330" t="s">
        <v>352</v>
      </c>
      <c r="B330" t="s">
        <v>21</v>
      </c>
      <c r="C330" s="1">
        <v>45871</v>
      </c>
      <c r="D330">
        <v>117147</v>
      </c>
      <c r="E330">
        <v>513</v>
      </c>
      <c r="F330">
        <v>0.59</v>
      </c>
      <c r="G330">
        <v>5</v>
      </c>
      <c r="H330" t="s">
        <v>41</v>
      </c>
      <c r="I330" t="s">
        <v>23</v>
      </c>
      <c r="J330">
        <v>13</v>
      </c>
    </row>
    <row r="331" spans="1:10" x14ac:dyDescent="0.25">
      <c r="A331" t="s">
        <v>353</v>
      </c>
      <c r="B331" t="s">
        <v>43</v>
      </c>
      <c r="C331" s="1">
        <v>45636</v>
      </c>
      <c r="D331">
        <v>47478</v>
      </c>
      <c r="E331">
        <v>775</v>
      </c>
      <c r="F331">
        <v>0.36</v>
      </c>
      <c r="G331">
        <v>0</v>
      </c>
      <c r="H331" t="s">
        <v>19</v>
      </c>
      <c r="I331" t="s">
        <v>13</v>
      </c>
      <c r="J331">
        <v>20</v>
      </c>
    </row>
    <row r="332" spans="1:10" x14ac:dyDescent="0.25">
      <c r="A332" t="s">
        <v>354</v>
      </c>
      <c r="B332" t="s">
        <v>11</v>
      </c>
      <c r="C332" s="1">
        <v>45720</v>
      </c>
      <c r="D332">
        <v>114357</v>
      </c>
      <c r="E332">
        <v>669</v>
      </c>
      <c r="F332">
        <v>0.5</v>
      </c>
      <c r="G332">
        <v>4</v>
      </c>
      <c r="H332" t="s">
        <v>41</v>
      </c>
      <c r="I332" t="s">
        <v>23</v>
      </c>
      <c r="J332">
        <v>18</v>
      </c>
    </row>
    <row r="333" spans="1:10" x14ac:dyDescent="0.25">
      <c r="A333" t="s">
        <v>355</v>
      </c>
      <c r="B333" t="s">
        <v>21</v>
      </c>
      <c r="C333" s="1">
        <v>45709</v>
      </c>
      <c r="D333">
        <v>149458</v>
      </c>
      <c r="E333">
        <v>610</v>
      </c>
      <c r="F333">
        <v>0.33</v>
      </c>
      <c r="G333">
        <v>0</v>
      </c>
      <c r="H333" t="s">
        <v>41</v>
      </c>
      <c r="I333" t="s">
        <v>13</v>
      </c>
      <c r="J333">
        <v>18</v>
      </c>
    </row>
    <row r="334" spans="1:10" x14ac:dyDescent="0.25">
      <c r="A334" t="s">
        <v>356</v>
      </c>
      <c r="B334" t="s">
        <v>11</v>
      </c>
      <c r="C334" s="1">
        <v>45451</v>
      </c>
      <c r="D334">
        <v>76338</v>
      </c>
      <c r="E334">
        <v>603</v>
      </c>
      <c r="F334">
        <v>0.46</v>
      </c>
      <c r="G334">
        <v>0</v>
      </c>
      <c r="H334" t="s">
        <v>19</v>
      </c>
      <c r="I334" t="s">
        <v>13</v>
      </c>
      <c r="J334">
        <v>27</v>
      </c>
    </row>
    <row r="335" spans="1:10" x14ac:dyDescent="0.25">
      <c r="A335" t="s">
        <v>357</v>
      </c>
      <c r="B335" t="s">
        <v>21</v>
      </c>
      <c r="C335" s="1">
        <v>45891</v>
      </c>
      <c r="D335">
        <v>11570</v>
      </c>
      <c r="E335">
        <v>630</v>
      </c>
      <c r="F335">
        <v>0.46</v>
      </c>
      <c r="G335">
        <v>0</v>
      </c>
      <c r="H335" t="s">
        <v>22</v>
      </c>
      <c r="I335" t="s">
        <v>13</v>
      </c>
      <c r="J335">
        <v>12</v>
      </c>
    </row>
    <row r="336" spans="1:10" x14ac:dyDescent="0.25">
      <c r="A336" t="s">
        <v>358</v>
      </c>
      <c r="B336" t="s">
        <v>21</v>
      </c>
      <c r="C336" s="1">
        <v>45736</v>
      </c>
      <c r="D336">
        <v>147500</v>
      </c>
      <c r="E336">
        <v>624</v>
      </c>
      <c r="F336">
        <v>0.24</v>
      </c>
      <c r="G336">
        <v>0</v>
      </c>
      <c r="H336" t="s">
        <v>16</v>
      </c>
      <c r="I336" t="s">
        <v>13</v>
      </c>
      <c r="J336">
        <v>17</v>
      </c>
    </row>
    <row r="337" spans="1:10" x14ac:dyDescent="0.25">
      <c r="A337" t="s">
        <v>359</v>
      </c>
      <c r="B337" t="s">
        <v>15</v>
      </c>
      <c r="C337" s="1">
        <v>45384</v>
      </c>
      <c r="D337">
        <v>129325</v>
      </c>
      <c r="E337">
        <v>816</v>
      </c>
      <c r="F337">
        <v>0.47</v>
      </c>
      <c r="G337">
        <v>0</v>
      </c>
      <c r="H337" t="s">
        <v>19</v>
      </c>
      <c r="I337" t="s">
        <v>17</v>
      </c>
      <c r="J337">
        <v>29</v>
      </c>
    </row>
    <row r="338" spans="1:10" x14ac:dyDescent="0.25">
      <c r="A338" t="s">
        <v>360</v>
      </c>
      <c r="B338" t="s">
        <v>21</v>
      </c>
      <c r="C338" s="1">
        <v>45323</v>
      </c>
      <c r="D338">
        <v>51951</v>
      </c>
      <c r="E338">
        <v>807</v>
      </c>
      <c r="F338">
        <v>0.17</v>
      </c>
      <c r="G338">
        <v>0</v>
      </c>
      <c r="H338" t="s">
        <v>12</v>
      </c>
      <c r="I338" t="s">
        <v>13</v>
      </c>
      <c r="J338">
        <v>31</v>
      </c>
    </row>
    <row r="339" spans="1:10" x14ac:dyDescent="0.25">
      <c r="A339" t="s">
        <v>361</v>
      </c>
      <c r="B339" t="s">
        <v>21</v>
      </c>
      <c r="C339" s="1">
        <v>45734</v>
      </c>
      <c r="D339">
        <v>61503</v>
      </c>
      <c r="E339">
        <v>623</v>
      </c>
      <c r="F339">
        <v>0.64</v>
      </c>
      <c r="G339">
        <v>0</v>
      </c>
      <c r="H339" t="s">
        <v>12</v>
      </c>
      <c r="I339" t="s">
        <v>13</v>
      </c>
      <c r="J339">
        <v>17</v>
      </c>
    </row>
    <row r="340" spans="1:10" x14ac:dyDescent="0.25">
      <c r="A340" t="s">
        <v>362</v>
      </c>
      <c r="B340" t="s">
        <v>21</v>
      </c>
      <c r="C340" s="1">
        <v>45445</v>
      </c>
      <c r="D340">
        <v>25481</v>
      </c>
      <c r="E340">
        <v>750</v>
      </c>
      <c r="F340">
        <v>0.33</v>
      </c>
      <c r="G340">
        <v>0</v>
      </c>
      <c r="H340" t="s">
        <v>12</v>
      </c>
      <c r="I340" t="s">
        <v>13</v>
      </c>
      <c r="J340">
        <v>27</v>
      </c>
    </row>
    <row r="341" spans="1:10" x14ac:dyDescent="0.25">
      <c r="A341" t="s">
        <v>363</v>
      </c>
      <c r="B341" t="s">
        <v>21</v>
      </c>
      <c r="C341" s="1">
        <v>45633</v>
      </c>
      <c r="D341">
        <v>97071</v>
      </c>
      <c r="E341">
        <v>612</v>
      </c>
      <c r="F341">
        <v>0.64</v>
      </c>
      <c r="G341">
        <v>0</v>
      </c>
      <c r="H341" t="s">
        <v>12</v>
      </c>
      <c r="I341" t="s">
        <v>13</v>
      </c>
      <c r="J341">
        <v>21</v>
      </c>
    </row>
    <row r="342" spans="1:10" x14ac:dyDescent="0.25">
      <c r="A342" t="s">
        <v>364</v>
      </c>
      <c r="B342" t="s">
        <v>15</v>
      </c>
      <c r="C342" s="1">
        <v>45426</v>
      </c>
      <c r="D342">
        <v>52557</v>
      </c>
      <c r="E342">
        <v>575</v>
      </c>
      <c r="F342">
        <v>0.37</v>
      </c>
      <c r="G342">
        <v>0</v>
      </c>
      <c r="H342" t="s">
        <v>12</v>
      </c>
      <c r="I342" t="s">
        <v>13</v>
      </c>
      <c r="J342">
        <v>27</v>
      </c>
    </row>
    <row r="343" spans="1:10" x14ac:dyDescent="0.25">
      <c r="A343" t="s">
        <v>365</v>
      </c>
      <c r="B343" t="s">
        <v>43</v>
      </c>
      <c r="C343" s="1">
        <v>45566</v>
      </c>
      <c r="D343">
        <v>13561</v>
      </c>
      <c r="E343">
        <v>663</v>
      </c>
      <c r="F343">
        <v>0.6</v>
      </c>
      <c r="G343">
        <v>0</v>
      </c>
      <c r="H343" t="s">
        <v>16</v>
      </c>
      <c r="I343" t="s">
        <v>13</v>
      </c>
      <c r="J343">
        <v>23</v>
      </c>
    </row>
    <row r="344" spans="1:10" x14ac:dyDescent="0.25">
      <c r="A344" t="s">
        <v>366</v>
      </c>
      <c r="B344" t="s">
        <v>21</v>
      </c>
      <c r="C344" s="1">
        <v>45613</v>
      </c>
      <c r="D344">
        <v>67279</v>
      </c>
      <c r="E344">
        <v>711</v>
      </c>
      <c r="F344">
        <v>0.34</v>
      </c>
      <c r="G344">
        <v>0</v>
      </c>
      <c r="H344" t="s">
        <v>27</v>
      </c>
      <c r="I344" t="s">
        <v>13</v>
      </c>
      <c r="J344">
        <v>21</v>
      </c>
    </row>
    <row r="345" spans="1:10" x14ac:dyDescent="0.25">
      <c r="A345" t="s">
        <v>367</v>
      </c>
      <c r="B345" t="s">
        <v>11</v>
      </c>
      <c r="C345" s="1">
        <v>45297</v>
      </c>
      <c r="D345">
        <v>46655</v>
      </c>
      <c r="E345">
        <v>758</v>
      </c>
      <c r="F345">
        <v>0.38</v>
      </c>
      <c r="G345">
        <v>2</v>
      </c>
      <c r="H345" t="s">
        <v>19</v>
      </c>
      <c r="I345" t="s">
        <v>17</v>
      </c>
      <c r="J345">
        <v>32</v>
      </c>
    </row>
    <row r="346" spans="1:10" x14ac:dyDescent="0.25">
      <c r="A346" t="s">
        <v>368</v>
      </c>
      <c r="B346" t="s">
        <v>15</v>
      </c>
      <c r="C346" s="1">
        <v>45649</v>
      </c>
      <c r="D346">
        <v>30182</v>
      </c>
      <c r="E346">
        <v>780</v>
      </c>
      <c r="F346">
        <v>0.41</v>
      </c>
      <c r="G346">
        <v>0</v>
      </c>
      <c r="H346" t="s">
        <v>27</v>
      </c>
      <c r="I346" t="s">
        <v>13</v>
      </c>
      <c r="J346">
        <v>20</v>
      </c>
    </row>
    <row r="347" spans="1:10" x14ac:dyDescent="0.25">
      <c r="A347" t="s">
        <v>369</v>
      </c>
      <c r="B347" t="s">
        <v>15</v>
      </c>
      <c r="C347" s="1">
        <v>45423</v>
      </c>
      <c r="D347">
        <v>112803</v>
      </c>
      <c r="E347">
        <v>741</v>
      </c>
      <c r="F347">
        <v>0.37</v>
      </c>
      <c r="G347">
        <v>5</v>
      </c>
      <c r="H347" t="s">
        <v>22</v>
      </c>
      <c r="I347" t="s">
        <v>17</v>
      </c>
      <c r="J347">
        <v>27</v>
      </c>
    </row>
    <row r="348" spans="1:10" x14ac:dyDescent="0.25">
      <c r="A348" t="s">
        <v>370</v>
      </c>
      <c r="B348" t="s">
        <v>15</v>
      </c>
      <c r="C348" s="1">
        <v>45296</v>
      </c>
      <c r="D348">
        <v>36564</v>
      </c>
      <c r="E348">
        <v>584</v>
      </c>
      <c r="F348">
        <v>0.43</v>
      </c>
      <c r="G348">
        <v>6</v>
      </c>
      <c r="H348" t="s">
        <v>12</v>
      </c>
      <c r="I348" t="s">
        <v>23</v>
      </c>
      <c r="J348">
        <v>32</v>
      </c>
    </row>
    <row r="349" spans="1:10" x14ac:dyDescent="0.25">
      <c r="A349" t="s">
        <v>371</v>
      </c>
      <c r="B349" t="s">
        <v>21</v>
      </c>
      <c r="C349" s="1">
        <v>45316</v>
      </c>
      <c r="D349">
        <v>99492</v>
      </c>
      <c r="E349">
        <v>639</v>
      </c>
      <c r="F349">
        <v>0.56999999999999995</v>
      </c>
      <c r="G349">
        <v>0</v>
      </c>
      <c r="H349" t="s">
        <v>19</v>
      </c>
      <c r="I349" t="s">
        <v>13</v>
      </c>
      <c r="J349">
        <v>31</v>
      </c>
    </row>
    <row r="350" spans="1:10" x14ac:dyDescent="0.25">
      <c r="A350" t="s">
        <v>372</v>
      </c>
      <c r="B350" t="s">
        <v>15</v>
      </c>
      <c r="C350" s="1">
        <v>45942</v>
      </c>
      <c r="D350">
        <v>77627</v>
      </c>
      <c r="E350">
        <v>516</v>
      </c>
      <c r="F350">
        <v>0.32</v>
      </c>
      <c r="G350">
        <v>5</v>
      </c>
      <c r="H350" t="s">
        <v>41</v>
      </c>
      <c r="I350" t="s">
        <v>17</v>
      </c>
      <c r="J350">
        <v>10</v>
      </c>
    </row>
    <row r="351" spans="1:10" x14ac:dyDescent="0.25">
      <c r="A351" t="s">
        <v>373</v>
      </c>
      <c r="B351" t="s">
        <v>15</v>
      </c>
      <c r="C351" s="1">
        <v>45307</v>
      </c>
      <c r="D351">
        <v>148738</v>
      </c>
      <c r="E351">
        <v>604</v>
      </c>
      <c r="F351">
        <v>0.49</v>
      </c>
      <c r="G351">
        <v>0</v>
      </c>
      <c r="H351" t="s">
        <v>12</v>
      </c>
      <c r="I351" t="s">
        <v>13</v>
      </c>
      <c r="J351">
        <v>31</v>
      </c>
    </row>
    <row r="352" spans="1:10" x14ac:dyDescent="0.25">
      <c r="A352" t="s">
        <v>374</v>
      </c>
      <c r="B352" t="s">
        <v>15</v>
      </c>
      <c r="C352" s="1">
        <v>45714</v>
      </c>
      <c r="D352">
        <v>112997</v>
      </c>
      <c r="E352">
        <v>600</v>
      </c>
      <c r="F352">
        <v>0.64</v>
      </c>
      <c r="G352">
        <v>2</v>
      </c>
      <c r="H352" t="s">
        <v>19</v>
      </c>
      <c r="I352" t="s">
        <v>23</v>
      </c>
      <c r="J352">
        <v>18</v>
      </c>
    </row>
    <row r="353" spans="1:10" x14ac:dyDescent="0.25">
      <c r="A353" t="s">
        <v>375</v>
      </c>
      <c r="B353" t="s">
        <v>11</v>
      </c>
      <c r="C353" s="1">
        <v>45531</v>
      </c>
      <c r="D353">
        <v>60443</v>
      </c>
      <c r="E353">
        <v>745</v>
      </c>
      <c r="F353">
        <v>0.4</v>
      </c>
      <c r="G353">
        <v>0</v>
      </c>
      <c r="H353" t="s">
        <v>27</v>
      </c>
      <c r="I353" t="s">
        <v>13</v>
      </c>
      <c r="J353">
        <v>24</v>
      </c>
    </row>
    <row r="354" spans="1:10" x14ac:dyDescent="0.25">
      <c r="A354" t="s">
        <v>376</v>
      </c>
      <c r="B354" t="s">
        <v>43</v>
      </c>
      <c r="C354" s="1">
        <v>45925</v>
      </c>
      <c r="D354">
        <v>46319</v>
      </c>
      <c r="E354">
        <v>643</v>
      </c>
      <c r="F354">
        <v>0.61</v>
      </c>
      <c r="G354">
        <v>0</v>
      </c>
      <c r="H354" t="s">
        <v>27</v>
      </c>
      <c r="I354" t="s">
        <v>13</v>
      </c>
      <c r="J354">
        <v>11</v>
      </c>
    </row>
    <row r="355" spans="1:10" x14ac:dyDescent="0.25">
      <c r="A355" t="s">
        <v>377</v>
      </c>
      <c r="B355" t="s">
        <v>15</v>
      </c>
      <c r="C355" s="1">
        <v>45547</v>
      </c>
      <c r="D355">
        <v>149611</v>
      </c>
      <c r="E355">
        <v>770</v>
      </c>
      <c r="F355">
        <v>0.56999999999999995</v>
      </c>
      <c r="G355">
        <v>6</v>
      </c>
      <c r="H355" t="s">
        <v>12</v>
      </c>
      <c r="I355" t="s">
        <v>17</v>
      </c>
      <c r="J355">
        <v>23</v>
      </c>
    </row>
    <row r="356" spans="1:10" x14ac:dyDescent="0.25">
      <c r="A356" t="s">
        <v>378</v>
      </c>
      <c r="B356" t="s">
        <v>15</v>
      </c>
      <c r="C356" s="1">
        <v>45483</v>
      </c>
      <c r="D356">
        <v>98023</v>
      </c>
      <c r="E356">
        <v>654</v>
      </c>
      <c r="F356">
        <v>0.28000000000000003</v>
      </c>
      <c r="G356">
        <v>0</v>
      </c>
      <c r="H356" t="s">
        <v>41</v>
      </c>
      <c r="I356" t="s">
        <v>13</v>
      </c>
      <c r="J356">
        <v>25</v>
      </c>
    </row>
    <row r="357" spans="1:10" x14ac:dyDescent="0.25">
      <c r="A357" t="s">
        <v>379</v>
      </c>
      <c r="B357" t="s">
        <v>15</v>
      </c>
      <c r="C357" s="1">
        <v>45954</v>
      </c>
      <c r="D357">
        <v>134906</v>
      </c>
      <c r="E357">
        <v>751</v>
      </c>
      <c r="F357">
        <v>0.2</v>
      </c>
      <c r="G357">
        <v>6</v>
      </c>
      <c r="H357" t="s">
        <v>27</v>
      </c>
      <c r="I357" t="s">
        <v>23</v>
      </c>
      <c r="J357">
        <v>10</v>
      </c>
    </row>
    <row r="358" spans="1:10" x14ac:dyDescent="0.25">
      <c r="A358" t="s">
        <v>380</v>
      </c>
      <c r="B358" t="s">
        <v>43</v>
      </c>
      <c r="C358" s="1">
        <v>45948</v>
      </c>
      <c r="D358">
        <v>62448</v>
      </c>
      <c r="E358">
        <v>784</v>
      </c>
      <c r="F358">
        <v>0.38</v>
      </c>
      <c r="G358">
        <v>1</v>
      </c>
      <c r="H358" t="s">
        <v>27</v>
      </c>
      <c r="I358" t="s">
        <v>17</v>
      </c>
      <c r="J358">
        <v>10</v>
      </c>
    </row>
    <row r="359" spans="1:10" x14ac:dyDescent="0.25">
      <c r="A359" t="s">
        <v>381</v>
      </c>
      <c r="B359" t="s">
        <v>15</v>
      </c>
      <c r="C359" s="1">
        <v>45794</v>
      </c>
      <c r="D359">
        <v>138114</v>
      </c>
      <c r="E359">
        <v>642</v>
      </c>
      <c r="F359">
        <v>0.63</v>
      </c>
      <c r="G359">
        <v>0</v>
      </c>
      <c r="H359" t="s">
        <v>41</v>
      </c>
      <c r="I359" t="s">
        <v>13</v>
      </c>
      <c r="J359">
        <v>15</v>
      </c>
    </row>
    <row r="360" spans="1:10" x14ac:dyDescent="0.25">
      <c r="A360" t="s">
        <v>382</v>
      </c>
      <c r="B360" t="s">
        <v>15</v>
      </c>
      <c r="C360" s="1">
        <v>45661</v>
      </c>
      <c r="D360">
        <v>108956</v>
      </c>
      <c r="E360">
        <v>765</v>
      </c>
      <c r="F360">
        <v>0.2</v>
      </c>
      <c r="G360">
        <v>0</v>
      </c>
      <c r="H360" t="s">
        <v>19</v>
      </c>
      <c r="I360" t="s">
        <v>13</v>
      </c>
      <c r="J360">
        <v>20</v>
      </c>
    </row>
    <row r="361" spans="1:10" x14ac:dyDescent="0.25">
      <c r="A361" t="s">
        <v>383</v>
      </c>
      <c r="B361" t="s">
        <v>43</v>
      </c>
      <c r="C361" s="1">
        <v>45937</v>
      </c>
      <c r="D361">
        <v>118145</v>
      </c>
      <c r="E361">
        <v>664</v>
      </c>
      <c r="F361">
        <v>0.59</v>
      </c>
      <c r="G361">
        <v>0</v>
      </c>
      <c r="H361" t="s">
        <v>22</v>
      </c>
      <c r="I361" t="s">
        <v>13</v>
      </c>
      <c r="J361">
        <v>11</v>
      </c>
    </row>
    <row r="362" spans="1:10" x14ac:dyDescent="0.25">
      <c r="A362" t="s">
        <v>384</v>
      </c>
      <c r="B362" t="s">
        <v>43</v>
      </c>
      <c r="C362" s="1">
        <v>45683</v>
      </c>
      <c r="D362">
        <v>36880</v>
      </c>
      <c r="E362">
        <v>478</v>
      </c>
      <c r="F362">
        <v>0.57999999999999996</v>
      </c>
      <c r="G362">
        <v>3</v>
      </c>
      <c r="H362" t="s">
        <v>22</v>
      </c>
      <c r="I362" t="s">
        <v>89</v>
      </c>
      <c r="J362">
        <v>19</v>
      </c>
    </row>
    <row r="363" spans="1:10" x14ac:dyDescent="0.25">
      <c r="A363" t="s">
        <v>385</v>
      </c>
      <c r="B363" t="s">
        <v>11</v>
      </c>
      <c r="C363" s="1">
        <v>45922</v>
      </c>
      <c r="D363">
        <v>9646</v>
      </c>
      <c r="E363">
        <v>485</v>
      </c>
      <c r="F363">
        <v>0.2</v>
      </c>
      <c r="G363">
        <v>2</v>
      </c>
      <c r="H363" t="s">
        <v>19</v>
      </c>
      <c r="I363" t="s">
        <v>23</v>
      </c>
      <c r="J363">
        <v>11</v>
      </c>
    </row>
    <row r="364" spans="1:10" x14ac:dyDescent="0.25">
      <c r="A364" t="s">
        <v>386</v>
      </c>
      <c r="B364" t="s">
        <v>21</v>
      </c>
      <c r="C364" s="1">
        <v>45402</v>
      </c>
      <c r="D364">
        <v>100412</v>
      </c>
      <c r="E364">
        <v>516</v>
      </c>
      <c r="F364">
        <v>0.63</v>
      </c>
      <c r="G364">
        <v>5</v>
      </c>
      <c r="H364" t="s">
        <v>12</v>
      </c>
      <c r="I364" t="s">
        <v>89</v>
      </c>
      <c r="J364">
        <v>28</v>
      </c>
    </row>
    <row r="365" spans="1:10" x14ac:dyDescent="0.25">
      <c r="A365" t="s">
        <v>387</v>
      </c>
      <c r="B365" t="s">
        <v>43</v>
      </c>
      <c r="C365" s="1">
        <v>45309</v>
      </c>
      <c r="D365">
        <v>72034</v>
      </c>
      <c r="E365">
        <v>579</v>
      </c>
      <c r="F365">
        <v>0.24</v>
      </c>
      <c r="G365">
        <v>0</v>
      </c>
      <c r="H365" t="s">
        <v>19</v>
      </c>
      <c r="I365" t="s">
        <v>13</v>
      </c>
      <c r="J365">
        <v>31</v>
      </c>
    </row>
    <row r="366" spans="1:10" x14ac:dyDescent="0.25">
      <c r="A366" t="s">
        <v>388</v>
      </c>
      <c r="B366" t="s">
        <v>15</v>
      </c>
      <c r="C366" s="1">
        <v>45550</v>
      </c>
      <c r="D366">
        <v>34597</v>
      </c>
      <c r="E366">
        <v>765</v>
      </c>
      <c r="F366">
        <v>0.22</v>
      </c>
      <c r="G366">
        <v>0</v>
      </c>
      <c r="H366" t="s">
        <v>19</v>
      </c>
      <c r="I366" t="s">
        <v>13</v>
      </c>
      <c r="J366">
        <v>23</v>
      </c>
    </row>
    <row r="367" spans="1:10" x14ac:dyDescent="0.25">
      <c r="A367" t="s">
        <v>389</v>
      </c>
      <c r="B367" t="s">
        <v>15</v>
      </c>
      <c r="C367" s="1">
        <v>45935</v>
      </c>
      <c r="D367">
        <v>18205</v>
      </c>
      <c r="E367">
        <v>541</v>
      </c>
      <c r="F367">
        <v>0.41</v>
      </c>
      <c r="G367">
        <v>0</v>
      </c>
      <c r="H367" t="s">
        <v>41</v>
      </c>
      <c r="I367" t="s">
        <v>13</v>
      </c>
      <c r="J367">
        <v>11</v>
      </c>
    </row>
    <row r="368" spans="1:10" x14ac:dyDescent="0.25">
      <c r="A368" t="s">
        <v>390</v>
      </c>
      <c r="B368" t="s">
        <v>11</v>
      </c>
      <c r="C368" s="1">
        <v>45414</v>
      </c>
      <c r="D368">
        <v>107868</v>
      </c>
      <c r="E368">
        <v>498</v>
      </c>
      <c r="F368">
        <v>0.22</v>
      </c>
      <c r="G368">
        <v>0</v>
      </c>
      <c r="H368" t="s">
        <v>12</v>
      </c>
      <c r="I368" t="s">
        <v>23</v>
      </c>
      <c r="J368">
        <v>28</v>
      </c>
    </row>
    <row r="369" spans="1:10" x14ac:dyDescent="0.25">
      <c r="A369" t="s">
        <v>391</v>
      </c>
      <c r="B369" t="s">
        <v>11</v>
      </c>
      <c r="C369" s="1">
        <v>45403</v>
      </c>
      <c r="D369">
        <v>89307</v>
      </c>
      <c r="E369">
        <v>485</v>
      </c>
      <c r="F369">
        <v>0.22</v>
      </c>
      <c r="G369">
        <v>6</v>
      </c>
      <c r="H369" t="s">
        <v>19</v>
      </c>
      <c r="I369" t="s">
        <v>17</v>
      </c>
      <c r="J369">
        <v>28</v>
      </c>
    </row>
    <row r="370" spans="1:10" x14ac:dyDescent="0.25">
      <c r="A370" t="s">
        <v>392</v>
      </c>
      <c r="B370" t="s">
        <v>43</v>
      </c>
      <c r="C370" s="1">
        <v>45548</v>
      </c>
      <c r="D370">
        <v>11016</v>
      </c>
      <c r="E370">
        <v>769</v>
      </c>
      <c r="F370">
        <v>0.53</v>
      </c>
      <c r="G370">
        <v>4</v>
      </c>
      <c r="H370" t="s">
        <v>19</v>
      </c>
      <c r="I370" t="s">
        <v>23</v>
      </c>
      <c r="J370">
        <v>23</v>
      </c>
    </row>
    <row r="371" spans="1:10" x14ac:dyDescent="0.25">
      <c r="A371" t="s">
        <v>393</v>
      </c>
      <c r="B371" t="s">
        <v>11</v>
      </c>
      <c r="C371" s="1">
        <v>45846</v>
      </c>
      <c r="D371">
        <v>31444</v>
      </c>
      <c r="E371">
        <v>766</v>
      </c>
      <c r="F371">
        <v>0.28999999999999998</v>
      </c>
      <c r="G371">
        <v>1</v>
      </c>
      <c r="H371" t="s">
        <v>27</v>
      </c>
      <c r="I371" t="s">
        <v>17</v>
      </c>
      <c r="J371">
        <v>14</v>
      </c>
    </row>
    <row r="372" spans="1:10" x14ac:dyDescent="0.25">
      <c r="A372" t="s">
        <v>394</v>
      </c>
      <c r="B372" t="s">
        <v>15</v>
      </c>
      <c r="C372" s="1">
        <v>45748</v>
      </c>
      <c r="D372">
        <v>75161</v>
      </c>
      <c r="E372">
        <v>586</v>
      </c>
      <c r="F372">
        <v>0.35</v>
      </c>
      <c r="G372">
        <v>6</v>
      </c>
      <c r="H372" t="s">
        <v>12</v>
      </c>
      <c r="I372" t="s">
        <v>17</v>
      </c>
      <c r="J372">
        <v>17</v>
      </c>
    </row>
    <row r="373" spans="1:10" x14ac:dyDescent="0.25">
      <c r="A373" t="s">
        <v>395</v>
      </c>
      <c r="B373" t="s">
        <v>21</v>
      </c>
      <c r="C373" s="1">
        <v>45712</v>
      </c>
      <c r="D373">
        <v>72401</v>
      </c>
      <c r="E373">
        <v>780</v>
      </c>
      <c r="F373">
        <v>0.57999999999999996</v>
      </c>
      <c r="G373">
        <v>4</v>
      </c>
      <c r="H373" t="s">
        <v>22</v>
      </c>
      <c r="I373" t="s">
        <v>23</v>
      </c>
      <c r="J373">
        <v>18</v>
      </c>
    </row>
    <row r="374" spans="1:10" x14ac:dyDescent="0.25">
      <c r="A374" t="s">
        <v>396</v>
      </c>
      <c r="B374" t="s">
        <v>21</v>
      </c>
      <c r="C374" s="1">
        <v>45857</v>
      </c>
      <c r="D374">
        <v>120500</v>
      </c>
      <c r="E374">
        <v>506</v>
      </c>
      <c r="F374">
        <v>0.31</v>
      </c>
      <c r="G374">
        <v>0</v>
      </c>
      <c r="H374" t="s">
        <v>27</v>
      </c>
      <c r="I374" t="s">
        <v>13</v>
      </c>
      <c r="J374">
        <v>13</v>
      </c>
    </row>
    <row r="375" spans="1:10" x14ac:dyDescent="0.25">
      <c r="A375" t="s">
        <v>397</v>
      </c>
      <c r="B375" t="s">
        <v>43</v>
      </c>
      <c r="C375" s="1">
        <v>45500</v>
      </c>
      <c r="D375">
        <v>84603</v>
      </c>
      <c r="E375">
        <v>798</v>
      </c>
      <c r="F375">
        <v>0.62</v>
      </c>
      <c r="G375">
        <v>0</v>
      </c>
      <c r="H375" t="s">
        <v>12</v>
      </c>
      <c r="I375" t="s">
        <v>23</v>
      </c>
      <c r="J375">
        <v>25</v>
      </c>
    </row>
    <row r="376" spans="1:10" x14ac:dyDescent="0.25">
      <c r="A376" t="s">
        <v>398</v>
      </c>
      <c r="B376" t="s">
        <v>15</v>
      </c>
      <c r="C376" s="1">
        <v>45873</v>
      </c>
      <c r="D376">
        <v>9136</v>
      </c>
      <c r="E376">
        <v>598</v>
      </c>
      <c r="F376">
        <v>0.3</v>
      </c>
      <c r="G376">
        <v>2</v>
      </c>
      <c r="H376" t="s">
        <v>16</v>
      </c>
      <c r="I376" t="s">
        <v>23</v>
      </c>
      <c r="J376">
        <v>13</v>
      </c>
    </row>
    <row r="377" spans="1:10" x14ac:dyDescent="0.25">
      <c r="A377" t="s">
        <v>399</v>
      </c>
      <c r="B377" t="s">
        <v>43</v>
      </c>
      <c r="C377" s="1">
        <v>45473</v>
      </c>
      <c r="D377">
        <v>8305</v>
      </c>
      <c r="E377">
        <v>494</v>
      </c>
      <c r="F377">
        <v>0.48</v>
      </c>
      <c r="G377">
        <v>0</v>
      </c>
      <c r="H377" t="s">
        <v>41</v>
      </c>
      <c r="I377" t="s">
        <v>13</v>
      </c>
      <c r="J377">
        <v>26</v>
      </c>
    </row>
    <row r="378" spans="1:10" x14ac:dyDescent="0.25">
      <c r="A378" t="s">
        <v>400</v>
      </c>
      <c r="B378" t="s">
        <v>15</v>
      </c>
      <c r="C378" s="1">
        <v>45950</v>
      </c>
      <c r="D378">
        <v>57540</v>
      </c>
      <c r="E378">
        <v>480</v>
      </c>
      <c r="F378">
        <v>0.28000000000000003</v>
      </c>
      <c r="G378">
        <v>0</v>
      </c>
      <c r="H378" t="s">
        <v>27</v>
      </c>
      <c r="I378" t="s">
        <v>13</v>
      </c>
      <c r="J378">
        <v>10</v>
      </c>
    </row>
    <row r="379" spans="1:10" x14ac:dyDescent="0.25">
      <c r="A379" t="s">
        <v>401</v>
      </c>
      <c r="B379" t="s">
        <v>11</v>
      </c>
      <c r="C379" s="1">
        <v>45674</v>
      </c>
      <c r="D379">
        <v>107517</v>
      </c>
      <c r="E379">
        <v>821</v>
      </c>
      <c r="F379">
        <v>0.2</v>
      </c>
      <c r="G379">
        <v>0</v>
      </c>
      <c r="H379" t="s">
        <v>22</v>
      </c>
      <c r="I379" t="s">
        <v>13</v>
      </c>
      <c r="J379">
        <v>19</v>
      </c>
    </row>
    <row r="380" spans="1:10" x14ac:dyDescent="0.25">
      <c r="A380" t="s">
        <v>402</v>
      </c>
      <c r="B380" t="s">
        <v>21</v>
      </c>
      <c r="C380" s="1">
        <v>45983</v>
      </c>
      <c r="D380">
        <v>38544</v>
      </c>
      <c r="E380">
        <v>521</v>
      </c>
      <c r="F380">
        <v>0.56000000000000005</v>
      </c>
      <c r="G380">
        <v>6</v>
      </c>
      <c r="H380" t="s">
        <v>12</v>
      </c>
      <c r="I380" t="s">
        <v>89</v>
      </c>
      <c r="J380">
        <v>9</v>
      </c>
    </row>
    <row r="381" spans="1:10" x14ac:dyDescent="0.25">
      <c r="A381" t="s">
        <v>403</v>
      </c>
      <c r="B381" t="s">
        <v>21</v>
      </c>
      <c r="C381" s="1">
        <v>45593</v>
      </c>
      <c r="D381">
        <v>110404</v>
      </c>
      <c r="E381">
        <v>723</v>
      </c>
      <c r="F381">
        <v>0.5</v>
      </c>
      <c r="G381">
        <v>0</v>
      </c>
      <c r="H381" t="s">
        <v>19</v>
      </c>
      <c r="I381" t="s">
        <v>13</v>
      </c>
      <c r="J381">
        <v>22</v>
      </c>
    </row>
    <row r="382" spans="1:10" x14ac:dyDescent="0.25">
      <c r="A382" t="s">
        <v>404</v>
      </c>
      <c r="B382" t="s">
        <v>11</v>
      </c>
      <c r="C382" s="1">
        <v>45531</v>
      </c>
      <c r="D382">
        <v>133345</v>
      </c>
      <c r="E382">
        <v>718</v>
      </c>
      <c r="F382">
        <v>0.36</v>
      </c>
      <c r="G382">
        <v>0</v>
      </c>
      <c r="H382" t="s">
        <v>22</v>
      </c>
      <c r="I382" t="s">
        <v>13</v>
      </c>
      <c r="J382">
        <v>24</v>
      </c>
    </row>
    <row r="383" spans="1:10" x14ac:dyDescent="0.25">
      <c r="A383" t="s">
        <v>405</v>
      </c>
      <c r="B383" t="s">
        <v>21</v>
      </c>
      <c r="C383" s="1">
        <v>45358</v>
      </c>
      <c r="D383">
        <v>28524</v>
      </c>
      <c r="E383">
        <v>757</v>
      </c>
      <c r="F383">
        <v>0.31</v>
      </c>
      <c r="G383">
        <v>0</v>
      </c>
      <c r="H383" t="s">
        <v>12</v>
      </c>
      <c r="I383" t="s">
        <v>13</v>
      </c>
      <c r="J383">
        <v>30</v>
      </c>
    </row>
    <row r="384" spans="1:10" x14ac:dyDescent="0.25">
      <c r="A384" t="s">
        <v>406</v>
      </c>
      <c r="B384" t="s">
        <v>21</v>
      </c>
      <c r="C384" s="1">
        <v>45327</v>
      </c>
      <c r="D384">
        <v>131478</v>
      </c>
      <c r="E384">
        <v>720</v>
      </c>
      <c r="F384">
        <v>0.38</v>
      </c>
      <c r="G384">
        <v>0</v>
      </c>
      <c r="H384" t="s">
        <v>12</v>
      </c>
      <c r="I384" t="s">
        <v>23</v>
      </c>
      <c r="J384">
        <v>31</v>
      </c>
    </row>
    <row r="385" spans="1:10" x14ac:dyDescent="0.25">
      <c r="A385" t="s">
        <v>407</v>
      </c>
      <c r="B385" t="s">
        <v>21</v>
      </c>
      <c r="C385" s="1">
        <v>45906</v>
      </c>
      <c r="D385">
        <v>62968</v>
      </c>
      <c r="E385">
        <v>719</v>
      </c>
      <c r="F385">
        <v>0.65</v>
      </c>
      <c r="G385">
        <v>0</v>
      </c>
      <c r="H385" t="s">
        <v>19</v>
      </c>
      <c r="I385" t="s">
        <v>13</v>
      </c>
      <c r="J385">
        <v>12</v>
      </c>
    </row>
    <row r="386" spans="1:10" x14ac:dyDescent="0.25">
      <c r="A386" t="s">
        <v>408</v>
      </c>
      <c r="B386" t="s">
        <v>21</v>
      </c>
      <c r="C386" s="1">
        <v>45643</v>
      </c>
      <c r="D386">
        <v>99367</v>
      </c>
      <c r="E386">
        <v>766</v>
      </c>
      <c r="F386">
        <v>0.33</v>
      </c>
      <c r="G386">
        <v>0</v>
      </c>
      <c r="H386" t="s">
        <v>22</v>
      </c>
      <c r="I386" t="s">
        <v>13</v>
      </c>
      <c r="J386">
        <v>20</v>
      </c>
    </row>
    <row r="387" spans="1:10" x14ac:dyDescent="0.25">
      <c r="A387" t="s">
        <v>409</v>
      </c>
      <c r="B387" t="s">
        <v>21</v>
      </c>
      <c r="C387" s="1">
        <v>45399</v>
      </c>
      <c r="D387">
        <v>106774</v>
      </c>
      <c r="E387">
        <v>620</v>
      </c>
      <c r="F387">
        <v>0.53</v>
      </c>
      <c r="G387">
        <v>0</v>
      </c>
      <c r="H387" t="s">
        <v>12</v>
      </c>
      <c r="I387" t="s">
        <v>23</v>
      </c>
      <c r="J387">
        <v>28</v>
      </c>
    </row>
    <row r="388" spans="1:10" x14ac:dyDescent="0.25">
      <c r="A388" t="s">
        <v>410</v>
      </c>
      <c r="B388" t="s">
        <v>15</v>
      </c>
      <c r="C388" s="1">
        <v>45780</v>
      </c>
      <c r="D388">
        <v>11031</v>
      </c>
      <c r="E388">
        <v>594</v>
      </c>
      <c r="F388">
        <v>0.5</v>
      </c>
      <c r="G388">
        <v>0</v>
      </c>
      <c r="H388" t="s">
        <v>12</v>
      </c>
      <c r="I388" t="s">
        <v>13</v>
      </c>
      <c r="J388">
        <v>16</v>
      </c>
    </row>
    <row r="389" spans="1:10" x14ac:dyDescent="0.25">
      <c r="A389" t="s">
        <v>411</v>
      </c>
      <c r="B389" t="s">
        <v>15</v>
      </c>
      <c r="C389" s="1">
        <v>45772</v>
      </c>
      <c r="D389">
        <v>119072</v>
      </c>
      <c r="E389">
        <v>562</v>
      </c>
      <c r="F389">
        <v>0.55000000000000004</v>
      </c>
      <c r="G389">
        <v>3</v>
      </c>
      <c r="H389" t="s">
        <v>41</v>
      </c>
      <c r="I389" t="s">
        <v>23</v>
      </c>
      <c r="J389">
        <v>16</v>
      </c>
    </row>
    <row r="390" spans="1:10" x14ac:dyDescent="0.25">
      <c r="A390" t="s">
        <v>412</v>
      </c>
      <c r="B390" t="s">
        <v>15</v>
      </c>
      <c r="C390" s="1">
        <v>45739</v>
      </c>
      <c r="D390">
        <v>116833</v>
      </c>
      <c r="E390">
        <v>804</v>
      </c>
      <c r="F390">
        <v>0.41</v>
      </c>
      <c r="G390">
        <v>0</v>
      </c>
      <c r="H390" t="s">
        <v>12</v>
      </c>
      <c r="I390" t="s">
        <v>13</v>
      </c>
      <c r="J390">
        <v>17</v>
      </c>
    </row>
    <row r="391" spans="1:10" x14ac:dyDescent="0.25">
      <c r="A391" t="s">
        <v>413</v>
      </c>
      <c r="B391" t="s">
        <v>21</v>
      </c>
      <c r="C391" s="1">
        <v>45666</v>
      </c>
      <c r="D391">
        <v>85791</v>
      </c>
      <c r="E391">
        <v>813</v>
      </c>
      <c r="F391">
        <v>0.42</v>
      </c>
      <c r="G391">
        <v>0</v>
      </c>
      <c r="H391" t="s">
        <v>27</v>
      </c>
      <c r="I391" t="s">
        <v>13</v>
      </c>
      <c r="J391">
        <v>20</v>
      </c>
    </row>
    <row r="392" spans="1:10" x14ac:dyDescent="0.25">
      <c r="A392" t="s">
        <v>414</v>
      </c>
      <c r="B392" t="s">
        <v>21</v>
      </c>
      <c r="C392" s="1">
        <v>45390</v>
      </c>
      <c r="D392">
        <v>56947</v>
      </c>
      <c r="E392">
        <v>533</v>
      </c>
      <c r="F392">
        <v>0.28999999999999998</v>
      </c>
      <c r="G392">
        <v>0</v>
      </c>
      <c r="H392" t="s">
        <v>41</v>
      </c>
      <c r="I392" t="s">
        <v>13</v>
      </c>
      <c r="J392">
        <v>29</v>
      </c>
    </row>
    <row r="393" spans="1:10" x14ac:dyDescent="0.25">
      <c r="A393" t="s">
        <v>415</v>
      </c>
      <c r="B393" t="s">
        <v>11</v>
      </c>
      <c r="C393" s="1">
        <v>45492</v>
      </c>
      <c r="D393">
        <v>141503</v>
      </c>
      <c r="E393">
        <v>522</v>
      </c>
      <c r="F393">
        <v>0.56999999999999995</v>
      </c>
      <c r="G393">
        <v>0</v>
      </c>
      <c r="H393" t="s">
        <v>12</v>
      </c>
      <c r="I393" t="s">
        <v>13</v>
      </c>
      <c r="J393">
        <v>25</v>
      </c>
    </row>
    <row r="394" spans="1:10" x14ac:dyDescent="0.25">
      <c r="A394" t="s">
        <v>416</v>
      </c>
      <c r="B394" t="s">
        <v>15</v>
      </c>
      <c r="C394" s="1">
        <v>45883</v>
      </c>
      <c r="D394">
        <v>86973</v>
      </c>
      <c r="E394">
        <v>589</v>
      </c>
      <c r="F394">
        <v>0.47</v>
      </c>
      <c r="G394">
        <v>0</v>
      </c>
      <c r="H394" t="s">
        <v>41</v>
      </c>
      <c r="I394" t="s">
        <v>13</v>
      </c>
      <c r="J394">
        <v>12</v>
      </c>
    </row>
    <row r="395" spans="1:10" x14ac:dyDescent="0.25">
      <c r="A395" t="s">
        <v>417</v>
      </c>
      <c r="B395" t="s">
        <v>21</v>
      </c>
      <c r="C395" s="1">
        <v>45967</v>
      </c>
      <c r="D395">
        <v>43110</v>
      </c>
      <c r="E395">
        <v>519</v>
      </c>
      <c r="F395">
        <v>0.42</v>
      </c>
      <c r="G395">
        <v>3</v>
      </c>
      <c r="H395" t="s">
        <v>22</v>
      </c>
      <c r="I395" t="s">
        <v>17</v>
      </c>
      <c r="J395">
        <v>10</v>
      </c>
    </row>
    <row r="396" spans="1:10" x14ac:dyDescent="0.25">
      <c r="A396" t="s">
        <v>418</v>
      </c>
      <c r="B396" t="s">
        <v>21</v>
      </c>
      <c r="C396" s="1">
        <v>45445</v>
      </c>
      <c r="D396">
        <v>83135</v>
      </c>
      <c r="E396">
        <v>717</v>
      </c>
      <c r="F396">
        <v>0.48</v>
      </c>
      <c r="G396">
        <v>0</v>
      </c>
      <c r="H396" t="s">
        <v>19</v>
      </c>
      <c r="I396" t="s">
        <v>13</v>
      </c>
      <c r="J396">
        <v>27</v>
      </c>
    </row>
    <row r="397" spans="1:10" x14ac:dyDescent="0.25">
      <c r="A397" t="s">
        <v>419</v>
      </c>
      <c r="B397" t="s">
        <v>15</v>
      </c>
      <c r="C397" s="1">
        <v>45482</v>
      </c>
      <c r="D397">
        <v>47566</v>
      </c>
      <c r="E397">
        <v>555</v>
      </c>
      <c r="F397">
        <v>0.24</v>
      </c>
      <c r="G397">
        <v>0</v>
      </c>
      <c r="H397" t="s">
        <v>12</v>
      </c>
      <c r="I397" t="s">
        <v>13</v>
      </c>
      <c r="J397">
        <v>26</v>
      </c>
    </row>
    <row r="398" spans="1:10" x14ac:dyDescent="0.25">
      <c r="A398" t="s">
        <v>420</v>
      </c>
      <c r="B398" t="s">
        <v>15</v>
      </c>
      <c r="C398" s="1">
        <v>45443</v>
      </c>
      <c r="D398">
        <v>30092</v>
      </c>
      <c r="E398">
        <v>820</v>
      </c>
      <c r="F398">
        <v>0.27</v>
      </c>
      <c r="G398">
        <v>5</v>
      </c>
      <c r="H398" t="s">
        <v>12</v>
      </c>
      <c r="I398" t="s">
        <v>23</v>
      </c>
      <c r="J398">
        <v>27</v>
      </c>
    </row>
    <row r="399" spans="1:10" x14ac:dyDescent="0.25">
      <c r="A399" t="s">
        <v>421</v>
      </c>
      <c r="B399" t="s">
        <v>15</v>
      </c>
      <c r="C399" s="1">
        <v>45315</v>
      </c>
      <c r="D399">
        <v>6875</v>
      </c>
      <c r="E399">
        <v>849</v>
      </c>
      <c r="F399">
        <v>0.24</v>
      </c>
      <c r="G399">
        <v>2</v>
      </c>
      <c r="H399" t="s">
        <v>12</v>
      </c>
      <c r="I399" t="s">
        <v>17</v>
      </c>
      <c r="J399">
        <v>31</v>
      </c>
    </row>
    <row r="400" spans="1:10" x14ac:dyDescent="0.25">
      <c r="A400" t="s">
        <v>422</v>
      </c>
      <c r="B400" t="s">
        <v>15</v>
      </c>
      <c r="C400" s="1">
        <v>45647</v>
      </c>
      <c r="D400">
        <v>115023</v>
      </c>
      <c r="E400">
        <v>838</v>
      </c>
      <c r="F400">
        <v>0.33</v>
      </c>
      <c r="G400">
        <v>0</v>
      </c>
      <c r="H400" t="s">
        <v>22</v>
      </c>
      <c r="I400" t="s">
        <v>13</v>
      </c>
      <c r="J400">
        <v>20</v>
      </c>
    </row>
    <row r="401" spans="1:10" x14ac:dyDescent="0.25">
      <c r="A401" t="s">
        <v>423</v>
      </c>
      <c r="B401" t="s">
        <v>21</v>
      </c>
      <c r="C401" s="1">
        <v>45588</v>
      </c>
      <c r="D401">
        <v>70588</v>
      </c>
      <c r="E401">
        <v>850</v>
      </c>
      <c r="F401">
        <v>0.38</v>
      </c>
      <c r="G401">
        <v>0</v>
      </c>
      <c r="H401" t="s">
        <v>16</v>
      </c>
      <c r="I401" t="s">
        <v>13</v>
      </c>
      <c r="J401">
        <v>22</v>
      </c>
    </row>
    <row r="402" spans="1:10" x14ac:dyDescent="0.25">
      <c r="A402" t="s">
        <v>424</v>
      </c>
      <c r="B402" t="s">
        <v>43</v>
      </c>
      <c r="C402" s="1">
        <v>45844</v>
      </c>
      <c r="D402">
        <v>9429</v>
      </c>
      <c r="E402">
        <v>694</v>
      </c>
      <c r="F402">
        <v>0.38</v>
      </c>
      <c r="G402">
        <v>0</v>
      </c>
      <c r="H402" t="s">
        <v>41</v>
      </c>
      <c r="I402" t="s">
        <v>13</v>
      </c>
      <c r="J402">
        <v>14</v>
      </c>
    </row>
    <row r="403" spans="1:10" x14ac:dyDescent="0.25">
      <c r="A403" t="s">
        <v>425</v>
      </c>
      <c r="B403" t="s">
        <v>15</v>
      </c>
      <c r="C403" s="1">
        <v>45515</v>
      </c>
      <c r="D403">
        <v>66666</v>
      </c>
      <c r="E403">
        <v>513</v>
      </c>
      <c r="F403">
        <v>0.22</v>
      </c>
      <c r="G403">
        <v>0</v>
      </c>
      <c r="H403" t="s">
        <v>27</v>
      </c>
      <c r="I403" t="s">
        <v>13</v>
      </c>
      <c r="J403">
        <v>24</v>
      </c>
    </row>
    <row r="404" spans="1:10" x14ac:dyDescent="0.25">
      <c r="A404" t="s">
        <v>426</v>
      </c>
      <c r="B404" t="s">
        <v>43</v>
      </c>
      <c r="C404" s="1">
        <v>45304</v>
      </c>
      <c r="D404">
        <v>99620</v>
      </c>
      <c r="E404">
        <v>763</v>
      </c>
      <c r="F404">
        <v>0.27</v>
      </c>
      <c r="G404">
        <v>0</v>
      </c>
      <c r="H404" t="s">
        <v>27</v>
      </c>
      <c r="I404" t="s">
        <v>13</v>
      </c>
      <c r="J404">
        <v>31</v>
      </c>
    </row>
    <row r="405" spans="1:10" x14ac:dyDescent="0.25">
      <c r="A405" t="s">
        <v>427</v>
      </c>
      <c r="B405" t="s">
        <v>11</v>
      </c>
      <c r="C405" s="1">
        <v>45329</v>
      </c>
      <c r="D405">
        <v>40723</v>
      </c>
      <c r="E405">
        <v>537</v>
      </c>
      <c r="F405">
        <v>0.43</v>
      </c>
      <c r="G405">
        <v>2</v>
      </c>
      <c r="H405" t="s">
        <v>16</v>
      </c>
      <c r="I405" t="s">
        <v>17</v>
      </c>
      <c r="J405">
        <v>31</v>
      </c>
    </row>
    <row r="406" spans="1:10" x14ac:dyDescent="0.25">
      <c r="A406" t="s">
        <v>428</v>
      </c>
      <c r="B406" t="s">
        <v>11</v>
      </c>
      <c r="C406" s="1">
        <v>45950</v>
      </c>
      <c r="D406">
        <v>86768</v>
      </c>
      <c r="E406">
        <v>798</v>
      </c>
      <c r="F406">
        <v>0.45</v>
      </c>
      <c r="G406">
        <v>0</v>
      </c>
      <c r="H406" t="s">
        <v>16</v>
      </c>
      <c r="I406" t="s">
        <v>13</v>
      </c>
      <c r="J406">
        <v>10</v>
      </c>
    </row>
    <row r="407" spans="1:10" x14ac:dyDescent="0.25">
      <c r="A407" t="s">
        <v>429</v>
      </c>
      <c r="B407" t="s">
        <v>43</v>
      </c>
      <c r="C407" s="1">
        <v>45686</v>
      </c>
      <c r="D407">
        <v>11182</v>
      </c>
      <c r="E407">
        <v>832</v>
      </c>
      <c r="F407">
        <v>0.57999999999999996</v>
      </c>
      <c r="G407">
        <v>0</v>
      </c>
      <c r="H407" t="s">
        <v>41</v>
      </c>
      <c r="I407" t="s">
        <v>13</v>
      </c>
      <c r="J407">
        <v>19</v>
      </c>
    </row>
    <row r="408" spans="1:10" x14ac:dyDescent="0.25">
      <c r="A408" t="s">
        <v>430</v>
      </c>
      <c r="B408" t="s">
        <v>11</v>
      </c>
      <c r="C408" s="1">
        <v>45704</v>
      </c>
      <c r="D408">
        <v>137114</v>
      </c>
      <c r="E408">
        <v>680</v>
      </c>
      <c r="F408">
        <v>0.48</v>
      </c>
      <c r="G408">
        <v>0</v>
      </c>
      <c r="H408" t="s">
        <v>16</v>
      </c>
      <c r="I408" t="s">
        <v>13</v>
      </c>
      <c r="J408">
        <v>18</v>
      </c>
    </row>
    <row r="409" spans="1:10" x14ac:dyDescent="0.25">
      <c r="A409" t="s">
        <v>431</v>
      </c>
      <c r="B409" t="s">
        <v>21</v>
      </c>
      <c r="C409" s="1">
        <v>45461</v>
      </c>
      <c r="D409">
        <v>86276</v>
      </c>
      <c r="E409">
        <v>694</v>
      </c>
      <c r="F409">
        <v>0.4</v>
      </c>
      <c r="G409">
        <v>0</v>
      </c>
      <c r="H409" t="s">
        <v>41</v>
      </c>
      <c r="I409" t="s">
        <v>13</v>
      </c>
      <c r="J409">
        <v>26</v>
      </c>
    </row>
    <row r="410" spans="1:10" x14ac:dyDescent="0.25">
      <c r="A410" t="s">
        <v>432</v>
      </c>
      <c r="B410" t="s">
        <v>15</v>
      </c>
      <c r="C410" s="1">
        <v>45354</v>
      </c>
      <c r="D410">
        <v>102389</v>
      </c>
      <c r="E410">
        <v>676</v>
      </c>
      <c r="F410">
        <v>0.41</v>
      </c>
      <c r="G410">
        <v>3</v>
      </c>
      <c r="H410" t="s">
        <v>12</v>
      </c>
      <c r="I410" t="s">
        <v>23</v>
      </c>
      <c r="J410">
        <v>30</v>
      </c>
    </row>
    <row r="411" spans="1:10" x14ac:dyDescent="0.25">
      <c r="A411" t="s">
        <v>433</v>
      </c>
      <c r="B411" t="s">
        <v>15</v>
      </c>
      <c r="C411" s="1">
        <v>45406</v>
      </c>
      <c r="D411">
        <v>35897</v>
      </c>
      <c r="E411">
        <v>486</v>
      </c>
      <c r="F411">
        <v>0.35</v>
      </c>
      <c r="G411">
        <v>0</v>
      </c>
      <c r="H411" t="s">
        <v>27</v>
      </c>
      <c r="I411" t="s">
        <v>13</v>
      </c>
      <c r="J411">
        <v>28</v>
      </c>
    </row>
    <row r="412" spans="1:10" x14ac:dyDescent="0.25">
      <c r="A412" t="s">
        <v>434</v>
      </c>
      <c r="B412" t="s">
        <v>15</v>
      </c>
      <c r="C412" s="1">
        <v>45357</v>
      </c>
      <c r="D412">
        <v>116028</v>
      </c>
      <c r="E412">
        <v>527</v>
      </c>
      <c r="F412">
        <v>0.26</v>
      </c>
      <c r="G412">
        <v>1</v>
      </c>
      <c r="H412" t="s">
        <v>19</v>
      </c>
      <c r="I412" t="s">
        <v>17</v>
      </c>
      <c r="J412">
        <v>30</v>
      </c>
    </row>
    <row r="413" spans="1:10" x14ac:dyDescent="0.25">
      <c r="A413" t="s">
        <v>435</v>
      </c>
      <c r="B413" t="s">
        <v>21</v>
      </c>
      <c r="C413" s="1">
        <v>45505</v>
      </c>
      <c r="D413">
        <v>45101</v>
      </c>
      <c r="E413">
        <v>598</v>
      </c>
      <c r="F413">
        <v>0.26</v>
      </c>
      <c r="G413">
        <v>0</v>
      </c>
      <c r="H413" t="s">
        <v>19</v>
      </c>
      <c r="I413" t="s">
        <v>13</v>
      </c>
      <c r="J413">
        <v>25</v>
      </c>
    </row>
    <row r="414" spans="1:10" x14ac:dyDescent="0.25">
      <c r="A414" t="s">
        <v>436</v>
      </c>
      <c r="B414" t="s">
        <v>43</v>
      </c>
      <c r="C414" s="1">
        <v>45722</v>
      </c>
      <c r="D414">
        <v>111949</v>
      </c>
      <c r="E414">
        <v>577</v>
      </c>
      <c r="F414">
        <v>0.33</v>
      </c>
      <c r="G414">
        <v>0</v>
      </c>
      <c r="H414" t="s">
        <v>19</v>
      </c>
      <c r="I414" t="s">
        <v>13</v>
      </c>
      <c r="J414">
        <v>18</v>
      </c>
    </row>
    <row r="415" spans="1:10" x14ac:dyDescent="0.25">
      <c r="A415" t="s">
        <v>437</v>
      </c>
      <c r="B415" t="s">
        <v>43</v>
      </c>
      <c r="C415" s="1">
        <v>45598</v>
      </c>
      <c r="D415">
        <v>118717</v>
      </c>
      <c r="E415">
        <v>536</v>
      </c>
      <c r="F415">
        <v>0.64</v>
      </c>
      <c r="G415">
        <v>3</v>
      </c>
      <c r="H415" t="s">
        <v>12</v>
      </c>
      <c r="I415" t="s">
        <v>89</v>
      </c>
      <c r="J415">
        <v>22</v>
      </c>
    </row>
    <row r="416" spans="1:10" x14ac:dyDescent="0.25">
      <c r="A416" t="s">
        <v>438</v>
      </c>
      <c r="B416" t="s">
        <v>15</v>
      </c>
      <c r="C416" s="1">
        <v>45511</v>
      </c>
      <c r="D416">
        <v>65077</v>
      </c>
      <c r="E416">
        <v>843</v>
      </c>
      <c r="F416">
        <v>0.35</v>
      </c>
      <c r="G416">
        <v>0</v>
      </c>
      <c r="H416" t="s">
        <v>16</v>
      </c>
      <c r="I416" t="s">
        <v>13</v>
      </c>
      <c r="J416">
        <v>25</v>
      </c>
    </row>
    <row r="417" spans="1:10" x14ac:dyDescent="0.25">
      <c r="A417" t="s">
        <v>439</v>
      </c>
      <c r="B417" t="s">
        <v>21</v>
      </c>
      <c r="C417" s="1">
        <v>45439</v>
      </c>
      <c r="D417">
        <v>7102</v>
      </c>
      <c r="E417">
        <v>499</v>
      </c>
      <c r="F417">
        <v>0.24</v>
      </c>
      <c r="G417">
        <v>0</v>
      </c>
      <c r="H417" t="s">
        <v>41</v>
      </c>
      <c r="I417" t="s">
        <v>13</v>
      </c>
      <c r="J417">
        <v>27</v>
      </c>
    </row>
    <row r="418" spans="1:10" x14ac:dyDescent="0.25">
      <c r="A418" t="s">
        <v>440</v>
      </c>
      <c r="B418" t="s">
        <v>21</v>
      </c>
      <c r="C418" s="1">
        <v>45684</v>
      </c>
      <c r="D418">
        <v>94591</v>
      </c>
      <c r="E418">
        <v>755</v>
      </c>
      <c r="F418">
        <v>0.47</v>
      </c>
      <c r="G418">
        <v>0</v>
      </c>
      <c r="H418" t="s">
        <v>27</v>
      </c>
      <c r="I418" t="s">
        <v>13</v>
      </c>
      <c r="J418">
        <v>19</v>
      </c>
    </row>
    <row r="419" spans="1:10" x14ac:dyDescent="0.25">
      <c r="A419" t="s">
        <v>441</v>
      </c>
      <c r="B419" t="s">
        <v>15</v>
      </c>
      <c r="C419" s="1">
        <v>45967</v>
      </c>
      <c r="D419">
        <v>135379</v>
      </c>
      <c r="E419">
        <v>512</v>
      </c>
      <c r="F419">
        <v>0.3</v>
      </c>
      <c r="G419">
        <v>3</v>
      </c>
      <c r="H419" t="s">
        <v>16</v>
      </c>
      <c r="I419" t="s">
        <v>23</v>
      </c>
      <c r="J419">
        <v>10</v>
      </c>
    </row>
    <row r="420" spans="1:10" x14ac:dyDescent="0.25">
      <c r="A420" t="s">
        <v>442</v>
      </c>
      <c r="B420" t="s">
        <v>11</v>
      </c>
      <c r="C420" s="1">
        <v>45791</v>
      </c>
      <c r="D420">
        <v>137454</v>
      </c>
      <c r="E420">
        <v>603</v>
      </c>
      <c r="F420">
        <v>0.32</v>
      </c>
      <c r="G420">
        <v>0</v>
      </c>
      <c r="H420" t="s">
        <v>19</v>
      </c>
      <c r="I420" t="s">
        <v>13</v>
      </c>
      <c r="J420">
        <v>15</v>
      </c>
    </row>
    <row r="421" spans="1:10" x14ac:dyDescent="0.25">
      <c r="A421" t="s">
        <v>443</v>
      </c>
      <c r="B421" t="s">
        <v>15</v>
      </c>
      <c r="C421" s="1">
        <v>45465</v>
      </c>
      <c r="D421">
        <v>30213</v>
      </c>
      <c r="E421">
        <v>614</v>
      </c>
      <c r="F421">
        <v>0.41</v>
      </c>
      <c r="G421">
        <v>6</v>
      </c>
      <c r="H421" t="s">
        <v>19</v>
      </c>
      <c r="I421" t="s">
        <v>17</v>
      </c>
      <c r="J421">
        <v>26</v>
      </c>
    </row>
    <row r="422" spans="1:10" x14ac:dyDescent="0.25">
      <c r="A422" t="s">
        <v>444</v>
      </c>
      <c r="B422" t="s">
        <v>11</v>
      </c>
      <c r="C422" s="1">
        <v>45958</v>
      </c>
      <c r="D422">
        <v>93171</v>
      </c>
      <c r="E422">
        <v>710</v>
      </c>
      <c r="F422">
        <v>0.61</v>
      </c>
      <c r="G422">
        <v>0</v>
      </c>
      <c r="H422" t="s">
        <v>12</v>
      </c>
      <c r="I422" t="s">
        <v>13</v>
      </c>
      <c r="J422">
        <v>10</v>
      </c>
    </row>
    <row r="423" spans="1:10" x14ac:dyDescent="0.25">
      <c r="A423" t="s">
        <v>445</v>
      </c>
      <c r="B423" t="s">
        <v>15</v>
      </c>
      <c r="C423" s="1">
        <v>45832</v>
      </c>
      <c r="D423">
        <v>90057</v>
      </c>
      <c r="E423">
        <v>736</v>
      </c>
      <c r="F423">
        <v>0.17</v>
      </c>
      <c r="G423">
        <v>0</v>
      </c>
      <c r="H423" t="s">
        <v>22</v>
      </c>
      <c r="I423" t="s">
        <v>13</v>
      </c>
      <c r="J423">
        <v>14</v>
      </c>
    </row>
    <row r="424" spans="1:10" x14ac:dyDescent="0.25">
      <c r="A424" t="s">
        <v>446</v>
      </c>
      <c r="B424" t="s">
        <v>21</v>
      </c>
      <c r="C424" s="1">
        <v>45779</v>
      </c>
      <c r="D424">
        <v>122654</v>
      </c>
      <c r="E424">
        <v>523</v>
      </c>
      <c r="F424">
        <v>0.22</v>
      </c>
      <c r="G424">
        <v>0</v>
      </c>
      <c r="H424" t="s">
        <v>12</v>
      </c>
      <c r="I424" t="s">
        <v>13</v>
      </c>
      <c r="J424">
        <v>16</v>
      </c>
    </row>
    <row r="425" spans="1:10" x14ac:dyDescent="0.25">
      <c r="A425" t="s">
        <v>447</v>
      </c>
      <c r="B425" t="s">
        <v>43</v>
      </c>
      <c r="C425" s="1">
        <v>45414</v>
      </c>
      <c r="D425">
        <v>18455</v>
      </c>
      <c r="E425">
        <v>833</v>
      </c>
      <c r="F425">
        <v>0.37</v>
      </c>
      <c r="G425">
        <v>6</v>
      </c>
      <c r="H425" t="s">
        <v>12</v>
      </c>
      <c r="I425" t="s">
        <v>23</v>
      </c>
      <c r="J425">
        <v>28</v>
      </c>
    </row>
    <row r="426" spans="1:10" x14ac:dyDescent="0.25">
      <c r="A426" t="s">
        <v>448</v>
      </c>
      <c r="B426" t="s">
        <v>15</v>
      </c>
      <c r="C426" s="1">
        <v>45536</v>
      </c>
      <c r="D426">
        <v>110871</v>
      </c>
      <c r="E426">
        <v>553</v>
      </c>
      <c r="F426">
        <v>0.19</v>
      </c>
      <c r="G426">
        <v>1</v>
      </c>
      <c r="H426" t="s">
        <v>22</v>
      </c>
      <c r="I426" t="s">
        <v>17</v>
      </c>
      <c r="J426">
        <v>24</v>
      </c>
    </row>
    <row r="427" spans="1:10" x14ac:dyDescent="0.25">
      <c r="A427" t="s">
        <v>449</v>
      </c>
      <c r="B427" t="s">
        <v>15</v>
      </c>
      <c r="C427" s="1">
        <v>45890</v>
      </c>
      <c r="D427">
        <v>128050</v>
      </c>
      <c r="E427">
        <v>608</v>
      </c>
      <c r="F427">
        <v>0.56999999999999995</v>
      </c>
      <c r="G427">
        <v>6</v>
      </c>
      <c r="H427" t="s">
        <v>27</v>
      </c>
      <c r="I427" t="s">
        <v>17</v>
      </c>
      <c r="J427">
        <v>12</v>
      </c>
    </row>
    <row r="428" spans="1:10" x14ac:dyDescent="0.25">
      <c r="A428" t="s">
        <v>450</v>
      </c>
      <c r="B428" t="s">
        <v>15</v>
      </c>
      <c r="C428" s="1">
        <v>45961</v>
      </c>
      <c r="D428">
        <v>116871</v>
      </c>
      <c r="E428">
        <v>533</v>
      </c>
      <c r="F428">
        <v>0.52</v>
      </c>
      <c r="G428">
        <v>0</v>
      </c>
      <c r="H428" t="s">
        <v>19</v>
      </c>
      <c r="I428" t="s">
        <v>13</v>
      </c>
      <c r="J428">
        <v>10</v>
      </c>
    </row>
    <row r="429" spans="1:10" x14ac:dyDescent="0.25">
      <c r="A429" t="s">
        <v>451</v>
      </c>
      <c r="B429" t="s">
        <v>15</v>
      </c>
      <c r="C429" s="1">
        <v>45661</v>
      </c>
      <c r="D429">
        <v>140997</v>
      </c>
      <c r="E429">
        <v>789</v>
      </c>
      <c r="F429">
        <v>0.39</v>
      </c>
      <c r="G429">
        <v>0</v>
      </c>
      <c r="H429" t="s">
        <v>12</v>
      </c>
      <c r="I429" t="s">
        <v>13</v>
      </c>
      <c r="J429">
        <v>20</v>
      </c>
    </row>
    <row r="430" spans="1:10" x14ac:dyDescent="0.25">
      <c r="A430" t="s">
        <v>452</v>
      </c>
      <c r="B430" t="s">
        <v>15</v>
      </c>
      <c r="C430" s="1">
        <v>45837</v>
      </c>
      <c r="D430">
        <v>8148</v>
      </c>
      <c r="E430">
        <v>735</v>
      </c>
      <c r="F430">
        <v>0.35</v>
      </c>
      <c r="G430">
        <v>0</v>
      </c>
      <c r="H430" t="s">
        <v>12</v>
      </c>
      <c r="I430" t="s">
        <v>13</v>
      </c>
      <c r="J430">
        <v>14</v>
      </c>
    </row>
    <row r="431" spans="1:10" x14ac:dyDescent="0.25">
      <c r="A431" t="s">
        <v>453</v>
      </c>
      <c r="B431" t="s">
        <v>21</v>
      </c>
      <c r="C431" s="1">
        <v>45809</v>
      </c>
      <c r="D431">
        <v>107542</v>
      </c>
      <c r="E431">
        <v>724</v>
      </c>
      <c r="F431">
        <v>0.54</v>
      </c>
      <c r="G431">
        <v>0</v>
      </c>
      <c r="H431" t="s">
        <v>16</v>
      </c>
      <c r="I431" t="s">
        <v>13</v>
      </c>
      <c r="J431">
        <v>15</v>
      </c>
    </row>
    <row r="432" spans="1:10" x14ac:dyDescent="0.25">
      <c r="A432" t="s">
        <v>454</v>
      </c>
      <c r="B432" t="s">
        <v>15</v>
      </c>
      <c r="C432" s="1">
        <v>45688</v>
      </c>
      <c r="D432">
        <v>149617</v>
      </c>
      <c r="E432">
        <v>675</v>
      </c>
      <c r="F432">
        <v>0.23</v>
      </c>
      <c r="G432">
        <v>5</v>
      </c>
      <c r="H432" t="s">
        <v>22</v>
      </c>
      <c r="I432" t="s">
        <v>17</v>
      </c>
      <c r="J432">
        <v>19</v>
      </c>
    </row>
    <row r="433" spans="1:10" x14ac:dyDescent="0.25">
      <c r="A433" t="s">
        <v>455</v>
      </c>
      <c r="B433" t="s">
        <v>21</v>
      </c>
      <c r="C433" s="1">
        <v>45651</v>
      </c>
      <c r="D433">
        <v>102353</v>
      </c>
      <c r="E433">
        <v>821</v>
      </c>
      <c r="F433">
        <v>0.26</v>
      </c>
      <c r="G433">
        <v>0</v>
      </c>
      <c r="H433" t="s">
        <v>41</v>
      </c>
      <c r="I433" t="s">
        <v>13</v>
      </c>
      <c r="J433">
        <v>20</v>
      </c>
    </row>
    <row r="434" spans="1:10" x14ac:dyDescent="0.25">
      <c r="A434" t="s">
        <v>456</v>
      </c>
      <c r="B434" t="s">
        <v>43</v>
      </c>
      <c r="C434" s="1">
        <v>45917</v>
      </c>
      <c r="D434">
        <v>96057</v>
      </c>
      <c r="E434">
        <v>627</v>
      </c>
      <c r="F434">
        <v>0.16</v>
      </c>
      <c r="G434">
        <v>0</v>
      </c>
      <c r="H434" t="s">
        <v>19</v>
      </c>
      <c r="I434" t="s">
        <v>13</v>
      </c>
      <c r="J434">
        <v>11</v>
      </c>
    </row>
    <row r="435" spans="1:10" x14ac:dyDescent="0.25">
      <c r="A435" t="s">
        <v>457</v>
      </c>
      <c r="B435" t="s">
        <v>21</v>
      </c>
      <c r="C435" s="1">
        <v>45296</v>
      </c>
      <c r="D435">
        <v>142984</v>
      </c>
      <c r="E435">
        <v>640</v>
      </c>
      <c r="F435">
        <v>0.49</v>
      </c>
      <c r="G435">
        <v>0</v>
      </c>
      <c r="H435" t="s">
        <v>19</v>
      </c>
      <c r="I435" t="s">
        <v>13</v>
      </c>
      <c r="J435">
        <v>32</v>
      </c>
    </row>
    <row r="436" spans="1:10" x14ac:dyDescent="0.25">
      <c r="A436" t="s">
        <v>458</v>
      </c>
      <c r="B436" t="s">
        <v>15</v>
      </c>
      <c r="C436" s="1">
        <v>45393</v>
      </c>
      <c r="D436">
        <v>77317</v>
      </c>
      <c r="E436">
        <v>563</v>
      </c>
      <c r="F436">
        <v>0.34</v>
      </c>
      <c r="G436">
        <v>0</v>
      </c>
      <c r="H436" t="s">
        <v>27</v>
      </c>
      <c r="I436" t="s">
        <v>13</v>
      </c>
      <c r="J436">
        <v>28</v>
      </c>
    </row>
    <row r="437" spans="1:10" x14ac:dyDescent="0.25">
      <c r="A437" t="s">
        <v>459</v>
      </c>
      <c r="B437" t="s">
        <v>15</v>
      </c>
      <c r="C437" s="1">
        <v>45426</v>
      </c>
      <c r="D437">
        <v>121496</v>
      </c>
      <c r="E437">
        <v>552</v>
      </c>
      <c r="F437">
        <v>0.36</v>
      </c>
      <c r="G437">
        <v>6</v>
      </c>
      <c r="H437" t="s">
        <v>22</v>
      </c>
      <c r="I437" t="s">
        <v>23</v>
      </c>
      <c r="J437">
        <v>27</v>
      </c>
    </row>
    <row r="438" spans="1:10" x14ac:dyDescent="0.25">
      <c r="A438" t="s">
        <v>460</v>
      </c>
      <c r="B438" t="s">
        <v>43</v>
      </c>
      <c r="C438" s="1">
        <v>45668</v>
      </c>
      <c r="D438">
        <v>120257</v>
      </c>
      <c r="E438">
        <v>680</v>
      </c>
      <c r="F438">
        <v>0.26</v>
      </c>
      <c r="G438">
        <v>0</v>
      </c>
      <c r="H438" t="s">
        <v>12</v>
      </c>
      <c r="I438" t="s">
        <v>13</v>
      </c>
      <c r="J438">
        <v>19</v>
      </c>
    </row>
    <row r="439" spans="1:10" x14ac:dyDescent="0.25">
      <c r="A439" t="s">
        <v>461</v>
      </c>
      <c r="B439" t="s">
        <v>21</v>
      </c>
      <c r="C439" s="1">
        <v>45746</v>
      </c>
      <c r="D439">
        <v>104183</v>
      </c>
      <c r="E439">
        <v>9999</v>
      </c>
      <c r="F439">
        <v>0.6</v>
      </c>
      <c r="G439">
        <v>5</v>
      </c>
      <c r="H439" t="s">
        <v>19</v>
      </c>
      <c r="I439" t="s">
        <v>89</v>
      </c>
      <c r="J439">
        <v>17</v>
      </c>
    </row>
    <row r="440" spans="1:10" x14ac:dyDescent="0.25">
      <c r="A440" t="s">
        <v>462</v>
      </c>
      <c r="B440" t="s">
        <v>15</v>
      </c>
      <c r="C440" s="1">
        <v>45571</v>
      </c>
      <c r="D440">
        <v>144185</v>
      </c>
      <c r="E440">
        <v>724</v>
      </c>
      <c r="F440">
        <v>0.63</v>
      </c>
      <c r="G440">
        <v>0</v>
      </c>
      <c r="H440" t="s">
        <v>19</v>
      </c>
      <c r="I440" t="s">
        <v>23</v>
      </c>
      <c r="J440">
        <v>23</v>
      </c>
    </row>
    <row r="441" spans="1:10" x14ac:dyDescent="0.25">
      <c r="A441" t="s">
        <v>463</v>
      </c>
      <c r="B441" t="s">
        <v>15</v>
      </c>
      <c r="C441" s="1">
        <v>45771</v>
      </c>
      <c r="D441">
        <v>96188</v>
      </c>
      <c r="E441">
        <v>587</v>
      </c>
      <c r="F441">
        <v>0.65</v>
      </c>
      <c r="G441">
        <v>0</v>
      </c>
      <c r="H441" t="s">
        <v>22</v>
      </c>
      <c r="I441" t="s">
        <v>13</v>
      </c>
      <c r="J441">
        <v>16</v>
      </c>
    </row>
    <row r="442" spans="1:10" x14ac:dyDescent="0.25">
      <c r="A442" t="s">
        <v>464</v>
      </c>
      <c r="B442" t="s">
        <v>43</v>
      </c>
      <c r="C442" s="1">
        <v>45932</v>
      </c>
      <c r="D442">
        <v>5971</v>
      </c>
      <c r="E442">
        <v>835</v>
      </c>
      <c r="F442">
        <v>0.26</v>
      </c>
      <c r="G442">
        <v>0</v>
      </c>
      <c r="H442" t="s">
        <v>12</v>
      </c>
      <c r="I442" t="s">
        <v>13</v>
      </c>
      <c r="J442">
        <v>11</v>
      </c>
    </row>
    <row r="443" spans="1:10" x14ac:dyDescent="0.25">
      <c r="A443" t="s">
        <v>465</v>
      </c>
      <c r="B443" t="s">
        <v>21</v>
      </c>
      <c r="C443" s="1">
        <v>45561</v>
      </c>
      <c r="D443">
        <v>113036</v>
      </c>
      <c r="E443">
        <v>513</v>
      </c>
      <c r="F443">
        <v>0.56999999999999995</v>
      </c>
      <c r="G443">
        <v>1</v>
      </c>
      <c r="H443" t="s">
        <v>27</v>
      </c>
      <c r="I443" t="s">
        <v>89</v>
      </c>
      <c r="J443">
        <v>23</v>
      </c>
    </row>
    <row r="444" spans="1:10" x14ac:dyDescent="0.25">
      <c r="A444" t="s">
        <v>466</v>
      </c>
      <c r="B444" t="s">
        <v>21</v>
      </c>
      <c r="C444" s="1">
        <v>45368</v>
      </c>
      <c r="D444">
        <v>17097</v>
      </c>
      <c r="E444">
        <v>811</v>
      </c>
      <c r="F444">
        <v>0.4</v>
      </c>
      <c r="G444">
        <v>1</v>
      </c>
      <c r="H444" t="s">
        <v>27</v>
      </c>
      <c r="I444" t="s">
        <v>23</v>
      </c>
      <c r="J444">
        <v>29</v>
      </c>
    </row>
    <row r="445" spans="1:10" x14ac:dyDescent="0.25">
      <c r="A445" t="s">
        <v>467</v>
      </c>
      <c r="B445" t="s">
        <v>21</v>
      </c>
      <c r="C445" s="1">
        <v>45490</v>
      </c>
      <c r="D445">
        <v>51284</v>
      </c>
      <c r="E445">
        <v>689</v>
      </c>
      <c r="F445">
        <v>0.2</v>
      </c>
      <c r="G445">
        <v>0</v>
      </c>
      <c r="H445" t="s">
        <v>19</v>
      </c>
      <c r="I445" t="s">
        <v>13</v>
      </c>
      <c r="J445">
        <v>25</v>
      </c>
    </row>
    <row r="446" spans="1:10" x14ac:dyDescent="0.25">
      <c r="A446" t="s">
        <v>468</v>
      </c>
      <c r="B446" t="s">
        <v>21</v>
      </c>
      <c r="C446" s="1">
        <v>45625</v>
      </c>
      <c r="D446">
        <v>143293</v>
      </c>
      <c r="E446">
        <v>552</v>
      </c>
      <c r="F446">
        <v>0.53</v>
      </c>
      <c r="G446">
        <v>0</v>
      </c>
      <c r="H446" t="s">
        <v>16</v>
      </c>
      <c r="I446" t="s">
        <v>23</v>
      </c>
      <c r="J446">
        <v>21</v>
      </c>
    </row>
    <row r="447" spans="1:10" x14ac:dyDescent="0.25">
      <c r="A447" t="s">
        <v>469</v>
      </c>
      <c r="B447" t="s">
        <v>15</v>
      </c>
      <c r="C447" s="1">
        <v>45333</v>
      </c>
      <c r="D447">
        <v>60664</v>
      </c>
      <c r="E447">
        <v>678</v>
      </c>
      <c r="F447">
        <v>0.54</v>
      </c>
      <c r="G447">
        <v>0</v>
      </c>
      <c r="H447" t="s">
        <v>22</v>
      </c>
      <c r="I447" t="s">
        <v>17</v>
      </c>
      <c r="J447">
        <v>30</v>
      </c>
    </row>
    <row r="448" spans="1:10" x14ac:dyDescent="0.25">
      <c r="A448" t="s">
        <v>470</v>
      </c>
      <c r="B448" t="s">
        <v>43</v>
      </c>
      <c r="C448" s="1">
        <v>45784</v>
      </c>
      <c r="D448">
        <v>63696</v>
      </c>
      <c r="E448">
        <v>551</v>
      </c>
      <c r="F448">
        <v>0.6</v>
      </c>
      <c r="G448">
        <v>2</v>
      </c>
      <c r="H448" t="s">
        <v>19</v>
      </c>
      <c r="I448" t="s">
        <v>23</v>
      </c>
      <c r="J448">
        <v>16</v>
      </c>
    </row>
    <row r="449" spans="1:10" x14ac:dyDescent="0.25">
      <c r="A449" t="s">
        <v>471</v>
      </c>
      <c r="B449" t="s">
        <v>15</v>
      </c>
      <c r="C449" s="1">
        <v>45627</v>
      </c>
      <c r="D449">
        <v>84614</v>
      </c>
      <c r="E449">
        <v>662</v>
      </c>
      <c r="F449">
        <v>0.27</v>
      </c>
      <c r="G449">
        <v>0</v>
      </c>
      <c r="H449" t="s">
        <v>27</v>
      </c>
      <c r="I449" t="s">
        <v>17</v>
      </c>
      <c r="J449">
        <v>21</v>
      </c>
    </row>
    <row r="450" spans="1:10" x14ac:dyDescent="0.25">
      <c r="A450" t="s">
        <v>472</v>
      </c>
      <c r="B450" t="s">
        <v>43</v>
      </c>
      <c r="C450" s="1">
        <v>45695</v>
      </c>
      <c r="D450">
        <v>67169</v>
      </c>
      <c r="E450">
        <v>760</v>
      </c>
      <c r="F450">
        <v>0.39</v>
      </c>
      <c r="G450">
        <v>0</v>
      </c>
      <c r="H450" t="s">
        <v>27</v>
      </c>
      <c r="I450" t="s">
        <v>13</v>
      </c>
      <c r="J450">
        <v>19</v>
      </c>
    </row>
    <row r="451" spans="1:10" x14ac:dyDescent="0.25">
      <c r="A451" t="s">
        <v>473</v>
      </c>
      <c r="B451" t="s">
        <v>43</v>
      </c>
      <c r="C451" s="1">
        <v>45920</v>
      </c>
      <c r="D451">
        <v>72068</v>
      </c>
      <c r="E451">
        <v>540</v>
      </c>
      <c r="F451">
        <v>0.52</v>
      </c>
      <c r="G451">
        <v>6</v>
      </c>
      <c r="H451" t="s">
        <v>12</v>
      </c>
      <c r="I451" t="s">
        <v>89</v>
      </c>
      <c r="J451">
        <v>11</v>
      </c>
    </row>
    <row r="452" spans="1:10" x14ac:dyDescent="0.25">
      <c r="A452" t="s">
        <v>474</v>
      </c>
      <c r="B452" t="s">
        <v>21</v>
      </c>
      <c r="C452" s="1">
        <v>45434</v>
      </c>
      <c r="D452">
        <v>120108</v>
      </c>
      <c r="E452">
        <v>828</v>
      </c>
      <c r="F452">
        <v>0.6</v>
      </c>
      <c r="G452">
        <v>6</v>
      </c>
      <c r="H452" t="s">
        <v>12</v>
      </c>
      <c r="I452" t="s">
        <v>23</v>
      </c>
      <c r="J452">
        <v>27</v>
      </c>
    </row>
    <row r="453" spans="1:10" x14ac:dyDescent="0.25">
      <c r="A453" t="s">
        <v>475</v>
      </c>
      <c r="B453" t="s">
        <v>11</v>
      </c>
      <c r="C453" s="1">
        <v>45839</v>
      </c>
      <c r="D453">
        <v>31714</v>
      </c>
      <c r="E453">
        <v>490</v>
      </c>
      <c r="F453">
        <v>0.52</v>
      </c>
      <c r="G453">
        <v>6</v>
      </c>
      <c r="H453" t="s">
        <v>22</v>
      </c>
      <c r="I453" t="s">
        <v>89</v>
      </c>
      <c r="J453">
        <v>14</v>
      </c>
    </row>
    <row r="454" spans="1:10" x14ac:dyDescent="0.25">
      <c r="A454" t="s">
        <v>476</v>
      </c>
      <c r="B454" t="s">
        <v>21</v>
      </c>
      <c r="C454" s="1">
        <v>45691</v>
      </c>
      <c r="D454">
        <v>40662</v>
      </c>
      <c r="E454">
        <v>467</v>
      </c>
      <c r="F454">
        <v>0.25</v>
      </c>
      <c r="G454">
        <v>3</v>
      </c>
      <c r="H454" t="s">
        <v>19</v>
      </c>
      <c r="I454" t="s">
        <v>17</v>
      </c>
      <c r="J454">
        <v>19</v>
      </c>
    </row>
    <row r="455" spans="1:10" x14ac:dyDescent="0.25">
      <c r="A455" t="s">
        <v>477</v>
      </c>
      <c r="B455" t="s">
        <v>21</v>
      </c>
      <c r="C455" s="1">
        <v>45426</v>
      </c>
      <c r="D455">
        <v>58960</v>
      </c>
      <c r="E455">
        <v>619</v>
      </c>
      <c r="F455">
        <v>0.51</v>
      </c>
      <c r="G455">
        <v>0</v>
      </c>
      <c r="H455" t="s">
        <v>12</v>
      </c>
      <c r="I455" t="s">
        <v>13</v>
      </c>
      <c r="J455">
        <v>27</v>
      </c>
    </row>
    <row r="456" spans="1:10" x14ac:dyDescent="0.25">
      <c r="A456" t="s">
        <v>478</v>
      </c>
      <c r="B456" t="s">
        <v>21</v>
      </c>
      <c r="C456" s="1">
        <v>45569</v>
      </c>
      <c r="D456">
        <v>145733</v>
      </c>
      <c r="E456">
        <v>500</v>
      </c>
      <c r="F456">
        <v>0.41</v>
      </c>
      <c r="G456">
        <v>0</v>
      </c>
      <c r="H456" t="s">
        <v>27</v>
      </c>
      <c r="I456" t="s">
        <v>13</v>
      </c>
      <c r="J456">
        <v>23</v>
      </c>
    </row>
    <row r="457" spans="1:10" x14ac:dyDescent="0.25">
      <c r="A457" t="s">
        <v>479</v>
      </c>
      <c r="B457" t="s">
        <v>21</v>
      </c>
      <c r="C457" s="1">
        <v>45895</v>
      </c>
      <c r="D457">
        <v>10365</v>
      </c>
      <c r="E457">
        <v>551</v>
      </c>
      <c r="F457">
        <v>0.17</v>
      </c>
      <c r="G457">
        <v>6</v>
      </c>
      <c r="H457" t="s">
        <v>12</v>
      </c>
      <c r="I457" t="s">
        <v>17</v>
      </c>
      <c r="J457">
        <v>12</v>
      </c>
    </row>
    <row r="458" spans="1:10" x14ac:dyDescent="0.25">
      <c r="A458" t="s">
        <v>480</v>
      </c>
      <c r="B458" t="s">
        <v>15</v>
      </c>
      <c r="C458" s="1">
        <v>45955</v>
      </c>
      <c r="D458">
        <v>47492</v>
      </c>
      <c r="E458">
        <v>497</v>
      </c>
      <c r="F458">
        <v>0.65</v>
      </c>
      <c r="G458">
        <v>5</v>
      </c>
      <c r="H458" t="s">
        <v>16</v>
      </c>
      <c r="I458" t="s">
        <v>89</v>
      </c>
      <c r="J458">
        <v>10</v>
      </c>
    </row>
    <row r="459" spans="1:10" x14ac:dyDescent="0.25">
      <c r="A459" t="s">
        <v>481</v>
      </c>
      <c r="B459" t="s">
        <v>11</v>
      </c>
      <c r="C459" s="1">
        <v>45630</v>
      </c>
      <c r="D459">
        <v>35115</v>
      </c>
      <c r="E459">
        <v>9999</v>
      </c>
      <c r="F459">
        <v>0.2</v>
      </c>
      <c r="G459">
        <v>1</v>
      </c>
      <c r="H459" t="s">
        <v>12</v>
      </c>
      <c r="I459" t="s">
        <v>17</v>
      </c>
      <c r="J459">
        <v>21</v>
      </c>
    </row>
    <row r="460" spans="1:10" x14ac:dyDescent="0.25">
      <c r="A460" t="s">
        <v>482</v>
      </c>
      <c r="B460" t="s">
        <v>43</v>
      </c>
      <c r="C460" s="1">
        <v>45950</v>
      </c>
      <c r="D460">
        <v>126418</v>
      </c>
      <c r="E460">
        <v>688</v>
      </c>
      <c r="F460">
        <v>0.16</v>
      </c>
      <c r="G460">
        <v>0</v>
      </c>
      <c r="H460" t="s">
        <v>19</v>
      </c>
      <c r="I460" t="s">
        <v>13</v>
      </c>
      <c r="J460">
        <v>10</v>
      </c>
    </row>
    <row r="461" spans="1:10" x14ac:dyDescent="0.25">
      <c r="A461" t="s">
        <v>483</v>
      </c>
      <c r="B461" t="s">
        <v>11</v>
      </c>
      <c r="C461" s="1">
        <v>45546</v>
      </c>
      <c r="D461">
        <v>135264</v>
      </c>
      <c r="E461">
        <v>508</v>
      </c>
      <c r="F461">
        <v>0.32</v>
      </c>
      <c r="G461">
        <v>0</v>
      </c>
      <c r="H461" t="s">
        <v>19</v>
      </c>
      <c r="I461" t="s">
        <v>13</v>
      </c>
      <c r="J461">
        <v>23</v>
      </c>
    </row>
    <row r="462" spans="1:10" x14ac:dyDescent="0.25">
      <c r="A462" t="s">
        <v>484</v>
      </c>
      <c r="B462" t="s">
        <v>11</v>
      </c>
      <c r="C462" s="1">
        <v>45466</v>
      </c>
      <c r="D462">
        <v>138843</v>
      </c>
      <c r="E462">
        <v>558</v>
      </c>
      <c r="F462">
        <v>0.44</v>
      </c>
      <c r="G462">
        <v>0</v>
      </c>
      <c r="H462" t="s">
        <v>19</v>
      </c>
      <c r="I462" t="s">
        <v>13</v>
      </c>
      <c r="J462">
        <v>26</v>
      </c>
    </row>
    <row r="463" spans="1:10" x14ac:dyDescent="0.25">
      <c r="A463" t="s">
        <v>485</v>
      </c>
      <c r="B463" t="s">
        <v>15</v>
      </c>
      <c r="C463" s="1">
        <v>45705</v>
      </c>
      <c r="D463">
        <v>21218</v>
      </c>
      <c r="E463">
        <v>695</v>
      </c>
      <c r="F463">
        <v>0.22</v>
      </c>
      <c r="G463">
        <v>2</v>
      </c>
      <c r="H463" t="s">
        <v>41</v>
      </c>
      <c r="I463" t="s">
        <v>23</v>
      </c>
      <c r="J463">
        <v>18</v>
      </c>
    </row>
    <row r="464" spans="1:10" x14ac:dyDescent="0.25">
      <c r="A464" t="s">
        <v>486</v>
      </c>
      <c r="B464" t="s">
        <v>11</v>
      </c>
      <c r="C464" s="1">
        <v>45380</v>
      </c>
      <c r="D464">
        <v>138869</v>
      </c>
      <c r="E464">
        <v>668</v>
      </c>
      <c r="F464">
        <v>0.18</v>
      </c>
      <c r="G464">
        <v>0</v>
      </c>
      <c r="H464" t="s">
        <v>19</v>
      </c>
      <c r="I464" t="s">
        <v>13</v>
      </c>
      <c r="J464">
        <v>29</v>
      </c>
    </row>
    <row r="465" spans="1:10" x14ac:dyDescent="0.25">
      <c r="A465" t="s">
        <v>487</v>
      </c>
      <c r="B465" t="s">
        <v>11</v>
      </c>
      <c r="C465" s="1">
        <v>45693</v>
      </c>
      <c r="D465">
        <v>138033</v>
      </c>
      <c r="E465">
        <v>704</v>
      </c>
      <c r="F465">
        <v>0.49</v>
      </c>
      <c r="G465">
        <v>0</v>
      </c>
      <c r="H465" t="s">
        <v>27</v>
      </c>
      <c r="I465" t="s">
        <v>13</v>
      </c>
      <c r="J465">
        <v>19</v>
      </c>
    </row>
    <row r="466" spans="1:10" x14ac:dyDescent="0.25">
      <c r="A466" t="s">
        <v>488</v>
      </c>
      <c r="B466" t="s">
        <v>43</v>
      </c>
      <c r="C466" s="1">
        <v>45298</v>
      </c>
      <c r="D466">
        <v>98856</v>
      </c>
      <c r="E466">
        <v>647</v>
      </c>
      <c r="F466">
        <v>0.18</v>
      </c>
      <c r="G466">
        <v>0</v>
      </c>
      <c r="H466" t="s">
        <v>41</v>
      </c>
      <c r="I466" t="s">
        <v>13</v>
      </c>
      <c r="J466">
        <v>32</v>
      </c>
    </row>
    <row r="467" spans="1:10" x14ac:dyDescent="0.25">
      <c r="A467" t="s">
        <v>489</v>
      </c>
      <c r="B467" t="s">
        <v>15</v>
      </c>
      <c r="C467" s="1">
        <v>45640</v>
      </c>
      <c r="D467">
        <v>95311</v>
      </c>
      <c r="E467">
        <v>827</v>
      </c>
      <c r="F467">
        <v>0.39</v>
      </c>
      <c r="G467">
        <v>0</v>
      </c>
      <c r="H467" t="s">
        <v>41</v>
      </c>
      <c r="I467" t="s">
        <v>13</v>
      </c>
      <c r="J467">
        <v>20</v>
      </c>
    </row>
    <row r="468" spans="1:10" x14ac:dyDescent="0.25">
      <c r="A468" t="s">
        <v>490</v>
      </c>
      <c r="B468" t="s">
        <v>21</v>
      </c>
      <c r="C468" s="1">
        <v>45617</v>
      </c>
      <c r="D468">
        <v>45951</v>
      </c>
      <c r="E468">
        <v>658</v>
      </c>
      <c r="F468">
        <v>0.23</v>
      </c>
      <c r="G468">
        <v>0</v>
      </c>
      <c r="H468" t="s">
        <v>19</v>
      </c>
      <c r="I468" t="s">
        <v>13</v>
      </c>
      <c r="J468">
        <v>21</v>
      </c>
    </row>
    <row r="469" spans="1:10" x14ac:dyDescent="0.25">
      <c r="A469" t="s">
        <v>491</v>
      </c>
      <c r="B469" t="s">
        <v>21</v>
      </c>
      <c r="C469" s="1">
        <v>45943</v>
      </c>
      <c r="D469">
        <v>141752</v>
      </c>
      <c r="E469">
        <v>468</v>
      </c>
      <c r="F469">
        <v>0.44</v>
      </c>
      <c r="G469">
        <v>2</v>
      </c>
      <c r="H469" t="s">
        <v>16</v>
      </c>
      <c r="I469" t="s">
        <v>17</v>
      </c>
      <c r="J469">
        <v>10</v>
      </c>
    </row>
    <row r="470" spans="1:10" x14ac:dyDescent="0.25">
      <c r="A470" t="s">
        <v>492</v>
      </c>
      <c r="B470" t="s">
        <v>21</v>
      </c>
      <c r="C470" s="1">
        <v>45627</v>
      </c>
      <c r="D470">
        <v>101008</v>
      </c>
      <c r="E470">
        <v>466</v>
      </c>
      <c r="F470">
        <v>0.62</v>
      </c>
      <c r="G470">
        <v>0</v>
      </c>
      <c r="H470" t="s">
        <v>19</v>
      </c>
      <c r="I470" t="s">
        <v>13</v>
      </c>
      <c r="J470">
        <v>21</v>
      </c>
    </row>
    <row r="471" spans="1:10" x14ac:dyDescent="0.25">
      <c r="A471" t="s">
        <v>493</v>
      </c>
      <c r="B471" t="s">
        <v>21</v>
      </c>
      <c r="C471" s="1">
        <v>45723</v>
      </c>
      <c r="D471">
        <v>85641</v>
      </c>
      <c r="E471">
        <v>663</v>
      </c>
      <c r="F471">
        <v>0.45</v>
      </c>
      <c r="G471">
        <v>6</v>
      </c>
      <c r="H471" t="s">
        <v>16</v>
      </c>
      <c r="I471" t="s">
        <v>17</v>
      </c>
      <c r="J471">
        <v>18</v>
      </c>
    </row>
    <row r="472" spans="1:10" x14ac:dyDescent="0.25">
      <c r="A472" t="s">
        <v>494</v>
      </c>
      <c r="B472" t="s">
        <v>11</v>
      </c>
      <c r="C472" s="1">
        <v>45318</v>
      </c>
      <c r="D472">
        <v>77286</v>
      </c>
      <c r="E472">
        <v>801</v>
      </c>
      <c r="F472">
        <v>0.48</v>
      </c>
      <c r="G472">
        <v>3</v>
      </c>
      <c r="H472" t="s">
        <v>41</v>
      </c>
      <c r="I472" t="s">
        <v>23</v>
      </c>
      <c r="J472">
        <v>31</v>
      </c>
    </row>
    <row r="473" spans="1:10" x14ac:dyDescent="0.25">
      <c r="A473" t="s">
        <v>495</v>
      </c>
      <c r="B473" t="s">
        <v>11</v>
      </c>
      <c r="C473" s="1">
        <v>45643</v>
      </c>
      <c r="D473">
        <v>133607</v>
      </c>
      <c r="E473">
        <v>765</v>
      </c>
      <c r="F473">
        <v>0.3</v>
      </c>
      <c r="G473">
        <v>0</v>
      </c>
      <c r="H473" t="s">
        <v>16</v>
      </c>
      <c r="I473" t="s">
        <v>13</v>
      </c>
      <c r="J473">
        <v>20</v>
      </c>
    </row>
    <row r="474" spans="1:10" x14ac:dyDescent="0.25">
      <c r="A474" t="s">
        <v>496</v>
      </c>
      <c r="B474" t="s">
        <v>15</v>
      </c>
      <c r="C474" s="1">
        <v>45514</v>
      </c>
      <c r="D474">
        <v>40528</v>
      </c>
      <c r="E474">
        <v>504</v>
      </c>
      <c r="F474">
        <v>0.54</v>
      </c>
      <c r="G474">
        <v>0</v>
      </c>
      <c r="H474" t="s">
        <v>27</v>
      </c>
      <c r="I474" t="s">
        <v>13</v>
      </c>
      <c r="J474">
        <v>24</v>
      </c>
    </row>
    <row r="475" spans="1:10" x14ac:dyDescent="0.25">
      <c r="A475" t="s">
        <v>497</v>
      </c>
      <c r="B475" t="s">
        <v>21</v>
      </c>
      <c r="C475" s="1">
        <v>45892</v>
      </c>
      <c r="D475">
        <v>149232</v>
      </c>
      <c r="E475">
        <v>608</v>
      </c>
      <c r="F475">
        <v>0.18</v>
      </c>
      <c r="G475">
        <v>5</v>
      </c>
      <c r="H475" t="s">
        <v>41</v>
      </c>
      <c r="I475" t="s">
        <v>23</v>
      </c>
      <c r="J475">
        <v>12</v>
      </c>
    </row>
    <row r="476" spans="1:10" x14ac:dyDescent="0.25">
      <c r="A476" t="s">
        <v>498</v>
      </c>
      <c r="B476" t="s">
        <v>11</v>
      </c>
      <c r="C476" s="1">
        <v>45661</v>
      </c>
      <c r="D476">
        <v>133928</v>
      </c>
      <c r="E476">
        <v>696</v>
      </c>
      <c r="F476">
        <v>0.44</v>
      </c>
      <c r="G476">
        <v>3</v>
      </c>
      <c r="H476" t="s">
        <v>27</v>
      </c>
      <c r="I476" t="s">
        <v>23</v>
      </c>
      <c r="J476">
        <v>20</v>
      </c>
    </row>
    <row r="477" spans="1:10" x14ac:dyDescent="0.25">
      <c r="A477" t="s">
        <v>499</v>
      </c>
      <c r="B477" t="s">
        <v>21</v>
      </c>
      <c r="C477" s="1">
        <v>45408</v>
      </c>
      <c r="D477">
        <v>94449</v>
      </c>
      <c r="E477">
        <v>641</v>
      </c>
      <c r="F477">
        <v>0.15</v>
      </c>
      <c r="G477">
        <v>0</v>
      </c>
      <c r="H477" t="s">
        <v>16</v>
      </c>
      <c r="I477" t="s">
        <v>13</v>
      </c>
      <c r="J477">
        <v>28</v>
      </c>
    </row>
    <row r="478" spans="1:10" x14ac:dyDescent="0.25">
      <c r="A478" t="s">
        <v>500</v>
      </c>
      <c r="B478" t="s">
        <v>43</v>
      </c>
      <c r="C478" s="1">
        <v>45867</v>
      </c>
      <c r="D478">
        <v>94010</v>
      </c>
      <c r="E478">
        <v>686</v>
      </c>
      <c r="F478">
        <v>0.56999999999999995</v>
      </c>
      <c r="G478">
        <v>0</v>
      </c>
      <c r="H478" t="s">
        <v>22</v>
      </c>
      <c r="I478" t="s">
        <v>13</v>
      </c>
      <c r="J478">
        <v>13</v>
      </c>
    </row>
    <row r="479" spans="1:10" x14ac:dyDescent="0.25">
      <c r="A479" t="s">
        <v>501</v>
      </c>
      <c r="B479" t="s">
        <v>15</v>
      </c>
      <c r="C479" s="1">
        <v>45550</v>
      </c>
      <c r="D479">
        <v>85312</v>
      </c>
      <c r="E479">
        <v>606</v>
      </c>
      <c r="F479">
        <v>0.31</v>
      </c>
      <c r="G479">
        <v>1</v>
      </c>
      <c r="H479" t="s">
        <v>12</v>
      </c>
      <c r="I479" t="s">
        <v>23</v>
      </c>
      <c r="J479">
        <v>23</v>
      </c>
    </row>
    <row r="480" spans="1:10" x14ac:dyDescent="0.25">
      <c r="A480" t="s">
        <v>502</v>
      </c>
      <c r="B480" t="s">
        <v>11</v>
      </c>
      <c r="C480" s="1">
        <v>45793</v>
      </c>
      <c r="D480">
        <v>46448</v>
      </c>
      <c r="E480">
        <v>700</v>
      </c>
      <c r="F480">
        <v>0.31</v>
      </c>
      <c r="G480">
        <v>1</v>
      </c>
      <c r="H480" t="s">
        <v>41</v>
      </c>
      <c r="I480" t="s">
        <v>23</v>
      </c>
      <c r="J480">
        <v>15</v>
      </c>
    </row>
    <row r="481" spans="1:10" x14ac:dyDescent="0.25">
      <c r="A481" t="s">
        <v>503</v>
      </c>
      <c r="B481" t="s">
        <v>11</v>
      </c>
      <c r="C481" s="1">
        <v>45352</v>
      </c>
      <c r="D481">
        <v>75361</v>
      </c>
      <c r="E481">
        <v>486</v>
      </c>
      <c r="F481">
        <v>0.59</v>
      </c>
      <c r="G481">
        <v>4</v>
      </c>
      <c r="H481" t="s">
        <v>12</v>
      </c>
      <c r="I481" t="s">
        <v>89</v>
      </c>
      <c r="J481">
        <v>30</v>
      </c>
    </row>
    <row r="482" spans="1:10" x14ac:dyDescent="0.25">
      <c r="A482" t="s">
        <v>504</v>
      </c>
      <c r="B482" t="s">
        <v>21</v>
      </c>
      <c r="C482" s="1">
        <v>45361</v>
      </c>
      <c r="D482">
        <v>102766</v>
      </c>
      <c r="E482">
        <v>787</v>
      </c>
      <c r="F482">
        <v>0.19</v>
      </c>
      <c r="G482">
        <v>0</v>
      </c>
      <c r="H482" t="s">
        <v>12</v>
      </c>
      <c r="I482" t="s">
        <v>13</v>
      </c>
      <c r="J482">
        <v>29</v>
      </c>
    </row>
    <row r="483" spans="1:10" x14ac:dyDescent="0.25">
      <c r="A483" t="s">
        <v>505</v>
      </c>
      <c r="B483" t="s">
        <v>15</v>
      </c>
      <c r="C483" s="1">
        <v>45342</v>
      </c>
      <c r="D483">
        <v>34591</v>
      </c>
      <c r="E483">
        <v>589</v>
      </c>
      <c r="F483">
        <v>0.45</v>
      </c>
      <c r="G483">
        <v>6</v>
      </c>
      <c r="H483" t="s">
        <v>22</v>
      </c>
      <c r="I483" t="s">
        <v>23</v>
      </c>
      <c r="J483">
        <v>30</v>
      </c>
    </row>
    <row r="484" spans="1:10" x14ac:dyDescent="0.25">
      <c r="A484" t="s">
        <v>506</v>
      </c>
      <c r="B484" t="s">
        <v>11</v>
      </c>
      <c r="C484" s="1">
        <v>45671</v>
      </c>
      <c r="D484">
        <v>20691</v>
      </c>
      <c r="E484">
        <v>657</v>
      </c>
      <c r="F484">
        <v>0.46</v>
      </c>
      <c r="G484">
        <v>0</v>
      </c>
      <c r="H484" t="s">
        <v>19</v>
      </c>
      <c r="I484" t="s">
        <v>13</v>
      </c>
      <c r="J484">
        <v>19</v>
      </c>
    </row>
    <row r="485" spans="1:10" x14ac:dyDescent="0.25">
      <c r="A485" t="s">
        <v>507</v>
      </c>
      <c r="B485" t="s">
        <v>21</v>
      </c>
      <c r="C485" s="1">
        <v>45747</v>
      </c>
      <c r="D485">
        <v>138727</v>
      </c>
      <c r="E485">
        <v>624</v>
      </c>
      <c r="F485">
        <v>0.33</v>
      </c>
      <c r="G485">
        <v>0</v>
      </c>
      <c r="H485" t="s">
        <v>16</v>
      </c>
      <c r="I485" t="s">
        <v>13</v>
      </c>
      <c r="J485">
        <v>17</v>
      </c>
    </row>
    <row r="486" spans="1:10" x14ac:dyDescent="0.25">
      <c r="A486" t="s">
        <v>508</v>
      </c>
      <c r="B486" t="s">
        <v>11</v>
      </c>
      <c r="C486" s="1">
        <v>45717</v>
      </c>
      <c r="D486">
        <v>132305</v>
      </c>
      <c r="E486">
        <v>757</v>
      </c>
      <c r="F486">
        <v>0.33</v>
      </c>
      <c r="G486">
        <v>0</v>
      </c>
      <c r="H486" t="s">
        <v>27</v>
      </c>
      <c r="I486" t="s">
        <v>13</v>
      </c>
      <c r="J486">
        <v>18</v>
      </c>
    </row>
    <row r="487" spans="1:10" x14ac:dyDescent="0.25">
      <c r="A487" t="s">
        <v>509</v>
      </c>
      <c r="B487" t="s">
        <v>21</v>
      </c>
      <c r="C487" s="1">
        <v>45422</v>
      </c>
      <c r="D487">
        <v>22726</v>
      </c>
      <c r="E487">
        <v>572</v>
      </c>
      <c r="F487">
        <v>0.36</v>
      </c>
      <c r="G487">
        <v>0</v>
      </c>
      <c r="H487" t="s">
        <v>12</v>
      </c>
      <c r="I487" t="s">
        <v>13</v>
      </c>
      <c r="J487">
        <v>27</v>
      </c>
    </row>
    <row r="488" spans="1:10" x14ac:dyDescent="0.25">
      <c r="A488" t="s">
        <v>510</v>
      </c>
      <c r="B488" t="s">
        <v>21</v>
      </c>
      <c r="C488" s="1">
        <v>45498</v>
      </c>
      <c r="D488">
        <v>70711</v>
      </c>
      <c r="E488">
        <v>569</v>
      </c>
      <c r="F488">
        <v>0.36</v>
      </c>
      <c r="G488">
        <v>0</v>
      </c>
      <c r="H488" t="s">
        <v>41</v>
      </c>
      <c r="I488" t="s">
        <v>13</v>
      </c>
      <c r="J488">
        <v>25</v>
      </c>
    </row>
    <row r="489" spans="1:10" x14ac:dyDescent="0.25">
      <c r="A489" t="s">
        <v>511</v>
      </c>
      <c r="B489" t="s">
        <v>15</v>
      </c>
      <c r="C489" s="1">
        <v>45775</v>
      </c>
      <c r="D489">
        <v>129189</v>
      </c>
      <c r="E489">
        <v>823</v>
      </c>
      <c r="F489">
        <v>0.28999999999999998</v>
      </c>
      <c r="G489">
        <v>0</v>
      </c>
      <c r="H489" t="s">
        <v>16</v>
      </c>
      <c r="I489" t="s">
        <v>23</v>
      </c>
      <c r="J489">
        <v>16</v>
      </c>
    </row>
    <row r="490" spans="1:10" x14ac:dyDescent="0.25">
      <c r="A490" t="s">
        <v>512</v>
      </c>
      <c r="B490" t="s">
        <v>15</v>
      </c>
      <c r="C490" s="1">
        <v>45399</v>
      </c>
      <c r="D490">
        <v>14887</v>
      </c>
      <c r="E490">
        <v>480</v>
      </c>
      <c r="F490">
        <v>0.56000000000000005</v>
      </c>
      <c r="G490">
        <v>0</v>
      </c>
      <c r="H490" t="s">
        <v>22</v>
      </c>
      <c r="I490" t="s">
        <v>13</v>
      </c>
      <c r="J490">
        <v>28</v>
      </c>
    </row>
    <row r="491" spans="1:10" x14ac:dyDescent="0.25">
      <c r="A491" t="s">
        <v>513</v>
      </c>
      <c r="B491" t="s">
        <v>15</v>
      </c>
      <c r="C491" s="1">
        <v>45411</v>
      </c>
      <c r="D491">
        <v>129440</v>
      </c>
      <c r="E491">
        <v>744</v>
      </c>
      <c r="F491">
        <v>0.46</v>
      </c>
      <c r="G491">
        <v>1</v>
      </c>
      <c r="H491" t="s">
        <v>41</v>
      </c>
      <c r="I491" t="s">
        <v>17</v>
      </c>
      <c r="J491">
        <v>28</v>
      </c>
    </row>
    <row r="492" spans="1:10" x14ac:dyDescent="0.25">
      <c r="A492" t="s">
        <v>514</v>
      </c>
      <c r="B492" t="s">
        <v>15</v>
      </c>
      <c r="C492" s="1">
        <v>45439</v>
      </c>
      <c r="D492">
        <v>40197</v>
      </c>
      <c r="E492">
        <v>721</v>
      </c>
      <c r="F492">
        <v>0.52</v>
      </c>
      <c r="G492">
        <v>1</v>
      </c>
      <c r="H492" t="s">
        <v>19</v>
      </c>
      <c r="I492" t="s">
        <v>17</v>
      </c>
      <c r="J492">
        <v>27</v>
      </c>
    </row>
    <row r="493" spans="1:10" x14ac:dyDescent="0.25">
      <c r="A493" t="s">
        <v>515</v>
      </c>
      <c r="B493" t="s">
        <v>15</v>
      </c>
      <c r="C493" s="1">
        <v>45825</v>
      </c>
      <c r="D493">
        <v>49670</v>
      </c>
      <c r="E493">
        <v>590</v>
      </c>
      <c r="F493">
        <v>0.38</v>
      </c>
      <c r="G493">
        <v>6</v>
      </c>
      <c r="H493" t="s">
        <v>19</v>
      </c>
      <c r="I493" t="s">
        <v>17</v>
      </c>
      <c r="J493">
        <v>14</v>
      </c>
    </row>
    <row r="494" spans="1:10" x14ac:dyDescent="0.25">
      <c r="A494" t="s">
        <v>516</v>
      </c>
      <c r="B494" t="s">
        <v>21</v>
      </c>
      <c r="C494" s="1">
        <v>45385</v>
      </c>
      <c r="D494">
        <v>129780</v>
      </c>
      <c r="E494">
        <v>501</v>
      </c>
      <c r="F494">
        <v>0.56999999999999995</v>
      </c>
      <c r="G494">
        <v>5</v>
      </c>
      <c r="H494" t="s">
        <v>12</v>
      </c>
      <c r="I494" t="s">
        <v>89</v>
      </c>
      <c r="J494">
        <v>29</v>
      </c>
    </row>
    <row r="495" spans="1:10" x14ac:dyDescent="0.25">
      <c r="A495" t="s">
        <v>517</v>
      </c>
      <c r="B495" t="s">
        <v>11</v>
      </c>
      <c r="C495" s="1">
        <v>45886</v>
      </c>
      <c r="D495">
        <v>109716</v>
      </c>
      <c r="E495">
        <v>538</v>
      </c>
      <c r="F495">
        <v>0.61</v>
      </c>
      <c r="G495">
        <v>3</v>
      </c>
      <c r="H495" t="s">
        <v>12</v>
      </c>
      <c r="I495" t="s">
        <v>23</v>
      </c>
      <c r="J495">
        <v>12</v>
      </c>
    </row>
    <row r="496" spans="1:10" x14ac:dyDescent="0.25">
      <c r="A496" t="s">
        <v>518</v>
      </c>
      <c r="B496" t="s">
        <v>11</v>
      </c>
      <c r="C496" s="1">
        <v>45545</v>
      </c>
      <c r="D496">
        <v>5768</v>
      </c>
      <c r="E496">
        <v>616</v>
      </c>
      <c r="F496">
        <v>0.16</v>
      </c>
      <c r="G496">
        <v>2</v>
      </c>
      <c r="H496" t="s">
        <v>22</v>
      </c>
      <c r="I496" t="s">
        <v>17</v>
      </c>
      <c r="J496">
        <v>23</v>
      </c>
    </row>
    <row r="497" spans="1:10" x14ac:dyDescent="0.25">
      <c r="A497" t="s">
        <v>519</v>
      </c>
      <c r="B497" t="s">
        <v>11</v>
      </c>
      <c r="C497" s="1">
        <v>45650</v>
      </c>
      <c r="D497">
        <v>39426</v>
      </c>
      <c r="E497">
        <v>627</v>
      </c>
      <c r="F497">
        <v>0.55000000000000004</v>
      </c>
      <c r="G497">
        <v>0</v>
      </c>
      <c r="H497" t="s">
        <v>22</v>
      </c>
      <c r="I497" t="s">
        <v>13</v>
      </c>
      <c r="J497">
        <v>20</v>
      </c>
    </row>
    <row r="498" spans="1:10" x14ac:dyDescent="0.25">
      <c r="A498" t="s">
        <v>520</v>
      </c>
      <c r="B498" t="s">
        <v>15</v>
      </c>
      <c r="C498" s="1">
        <v>45485</v>
      </c>
      <c r="D498">
        <v>87196</v>
      </c>
      <c r="E498">
        <v>-1</v>
      </c>
      <c r="F498">
        <v>0.36</v>
      </c>
      <c r="G498">
        <v>0</v>
      </c>
      <c r="H498" t="s">
        <v>27</v>
      </c>
      <c r="I498" t="s">
        <v>13</v>
      </c>
      <c r="J498">
        <v>25</v>
      </c>
    </row>
    <row r="499" spans="1:10" x14ac:dyDescent="0.25">
      <c r="A499" t="s">
        <v>521</v>
      </c>
      <c r="B499" t="s">
        <v>15</v>
      </c>
      <c r="C499" s="1">
        <v>45614</v>
      </c>
      <c r="D499">
        <v>66483</v>
      </c>
      <c r="E499">
        <v>671</v>
      </c>
      <c r="F499">
        <v>0.24</v>
      </c>
      <c r="G499">
        <v>1</v>
      </c>
      <c r="H499" t="s">
        <v>22</v>
      </c>
      <c r="I499" t="s">
        <v>23</v>
      </c>
      <c r="J499">
        <v>21</v>
      </c>
    </row>
    <row r="500" spans="1:10" x14ac:dyDescent="0.25">
      <c r="A500" t="s">
        <v>522</v>
      </c>
      <c r="B500" t="s">
        <v>43</v>
      </c>
      <c r="C500" s="1">
        <v>45930</v>
      </c>
      <c r="D500">
        <v>93294</v>
      </c>
      <c r="E500">
        <v>830</v>
      </c>
      <c r="F500">
        <v>0.63</v>
      </c>
      <c r="G500">
        <v>0</v>
      </c>
      <c r="H500" t="s">
        <v>16</v>
      </c>
      <c r="I500" t="s">
        <v>13</v>
      </c>
      <c r="J500">
        <v>11</v>
      </c>
    </row>
    <row r="501" spans="1:10" x14ac:dyDescent="0.25">
      <c r="A501" t="s">
        <v>523</v>
      </c>
      <c r="B501" t="s">
        <v>15</v>
      </c>
      <c r="C501" s="1">
        <v>45934</v>
      </c>
      <c r="D501">
        <v>6709</v>
      </c>
      <c r="E501">
        <v>503</v>
      </c>
      <c r="F501">
        <v>0.34</v>
      </c>
      <c r="G501">
        <v>0</v>
      </c>
      <c r="H501" t="s">
        <v>22</v>
      </c>
      <c r="I501" t="s">
        <v>13</v>
      </c>
      <c r="J501">
        <v>11</v>
      </c>
    </row>
    <row r="502" spans="1:10" x14ac:dyDescent="0.25">
      <c r="A502" t="s">
        <v>524</v>
      </c>
      <c r="B502" t="s">
        <v>15</v>
      </c>
      <c r="C502" s="1">
        <v>45621</v>
      </c>
      <c r="D502">
        <v>18429</v>
      </c>
      <c r="E502">
        <v>488</v>
      </c>
      <c r="F502">
        <v>0.54</v>
      </c>
      <c r="G502">
        <v>4</v>
      </c>
      <c r="H502" t="s">
        <v>41</v>
      </c>
      <c r="I502" t="s">
        <v>89</v>
      </c>
      <c r="J502">
        <v>21</v>
      </c>
    </row>
    <row r="503" spans="1:10" x14ac:dyDescent="0.25">
      <c r="A503" t="s">
        <v>525</v>
      </c>
      <c r="B503" t="s">
        <v>11</v>
      </c>
      <c r="C503" s="1">
        <v>45496</v>
      </c>
      <c r="D503">
        <v>57030</v>
      </c>
      <c r="E503">
        <v>629</v>
      </c>
      <c r="F503">
        <v>0.6</v>
      </c>
      <c r="G503">
        <v>5</v>
      </c>
      <c r="H503" t="s">
        <v>16</v>
      </c>
      <c r="I503" t="s">
        <v>17</v>
      </c>
      <c r="J503">
        <v>25</v>
      </c>
    </row>
    <row r="504" spans="1:10" x14ac:dyDescent="0.25">
      <c r="A504" t="s">
        <v>526</v>
      </c>
      <c r="B504" t="s">
        <v>15</v>
      </c>
      <c r="C504" s="1">
        <v>45845</v>
      </c>
      <c r="D504">
        <v>48886</v>
      </c>
      <c r="E504">
        <v>555</v>
      </c>
      <c r="F504">
        <v>0.64</v>
      </c>
      <c r="G504">
        <v>0</v>
      </c>
      <c r="H504" t="s">
        <v>16</v>
      </c>
      <c r="I504" t="s">
        <v>13</v>
      </c>
      <c r="J504">
        <v>14</v>
      </c>
    </row>
    <row r="505" spans="1:10" x14ac:dyDescent="0.25">
      <c r="A505" t="s">
        <v>527</v>
      </c>
      <c r="B505" t="s">
        <v>15</v>
      </c>
      <c r="C505" s="1">
        <v>45387</v>
      </c>
      <c r="D505">
        <v>68404</v>
      </c>
      <c r="E505">
        <v>785</v>
      </c>
      <c r="F505">
        <v>0.3</v>
      </c>
      <c r="G505">
        <v>0</v>
      </c>
      <c r="H505" t="s">
        <v>22</v>
      </c>
      <c r="I505" t="s">
        <v>13</v>
      </c>
      <c r="J505">
        <v>29</v>
      </c>
    </row>
    <row r="506" spans="1:10" x14ac:dyDescent="0.25">
      <c r="A506" t="s">
        <v>528</v>
      </c>
      <c r="B506" t="s">
        <v>43</v>
      </c>
      <c r="C506" s="1">
        <v>45348</v>
      </c>
      <c r="D506">
        <v>7600</v>
      </c>
      <c r="E506">
        <v>513</v>
      </c>
      <c r="F506">
        <v>0.45</v>
      </c>
      <c r="G506">
        <v>0</v>
      </c>
      <c r="H506" t="s">
        <v>12</v>
      </c>
      <c r="I506" t="s">
        <v>13</v>
      </c>
      <c r="J506">
        <v>30</v>
      </c>
    </row>
    <row r="507" spans="1:10" x14ac:dyDescent="0.25">
      <c r="A507" t="s">
        <v>529</v>
      </c>
      <c r="B507" t="s">
        <v>43</v>
      </c>
      <c r="C507" s="1">
        <v>45615</v>
      </c>
      <c r="D507">
        <v>105193</v>
      </c>
      <c r="E507">
        <v>519</v>
      </c>
      <c r="F507">
        <v>0.37</v>
      </c>
      <c r="G507">
        <v>0</v>
      </c>
      <c r="H507" t="s">
        <v>22</v>
      </c>
      <c r="I507" t="s">
        <v>17</v>
      </c>
      <c r="J507">
        <v>21</v>
      </c>
    </row>
    <row r="508" spans="1:10" x14ac:dyDescent="0.25">
      <c r="A508" t="s">
        <v>530</v>
      </c>
      <c r="B508" t="s">
        <v>15</v>
      </c>
      <c r="C508" s="1">
        <v>45398</v>
      </c>
      <c r="D508">
        <v>29176</v>
      </c>
      <c r="E508">
        <v>790</v>
      </c>
      <c r="F508">
        <v>0.22</v>
      </c>
      <c r="G508">
        <v>0</v>
      </c>
      <c r="H508" t="s">
        <v>19</v>
      </c>
      <c r="I508" t="s">
        <v>13</v>
      </c>
      <c r="J508">
        <v>28</v>
      </c>
    </row>
    <row r="509" spans="1:10" x14ac:dyDescent="0.25">
      <c r="A509" t="s">
        <v>531</v>
      </c>
      <c r="B509" t="s">
        <v>21</v>
      </c>
      <c r="C509" s="1">
        <v>45557</v>
      </c>
      <c r="D509">
        <v>10998</v>
      </c>
      <c r="E509">
        <v>-1</v>
      </c>
      <c r="F509">
        <v>0.65</v>
      </c>
      <c r="G509">
        <v>4</v>
      </c>
      <c r="H509" t="s">
        <v>19</v>
      </c>
      <c r="I509" t="s">
        <v>89</v>
      </c>
      <c r="J509">
        <v>23</v>
      </c>
    </row>
    <row r="510" spans="1:10" x14ac:dyDescent="0.25">
      <c r="A510" t="s">
        <v>532</v>
      </c>
      <c r="B510" t="s">
        <v>11</v>
      </c>
      <c r="C510" s="1">
        <v>45363</v>
      </c>
      <c r="D510">
        <v>12198</v>
      </c>
      <c r="E510">
        <v>518</v>
      </c>
      <c r="F510">
        <v>0.61</v>
      </c>
      <c r="G510">
        <v>5</v>
      </c>
      <c r="H510" t="s">
        <v>27</v>
      </c>
      <c r="I510" t="s">
        <v>23</v>
      </c>
      <c r="J510">
        <v>29</v>
      </c>
    </row>
    <row r="511" spans="1:10" x14ac:dyDescent="0.25">
      <c r="A511" t="s">
        <v>533</v>
      </c>
      <c r="B511" t="s">
        <v>21</v>
      </c>
      <c r="C511" s="1">
        <v>45302</v>
      </c>
      <c r="D511">
        <v>21087</v>
      </c>
      <c r="E511">
        <v>622</v>
      </c>
      <c r="F511">
        <v>0.59</v>
      </c>
      <c r="G511">
        <v>0</v>
      </c>
      <c r="H511" t="s">
        <v>12</v>
      </c>
      <c r="I511" t="s">
        <v>13</v>
      </c>
      <c r="J511">
        <v>31</v>
      </c>
    </row>
    <row r="512" spans="1:10" x14ac:dyDescent="0.25">
      <c r="A512" t="s">
        <v>534</v>
      </c>
      <c r="B512" t="s">
        <v>43</v>
      </c>
      <c r="C512" s="1">
        <v>45891</v>
      </c>
      <c r="D512">
        <v>108336</v>
      </c>
      <c r="E512">
        <v>755</v>
      </c>
      <c r="F512">
        <v>0.42</v>
      </c>
      <c r="G512">
        <v>0</v>
      </c>
      <c r="H512" t="s">
        <v>12</v>
      </c>
      <c r="I512" t="s">
        <v>13</v>
      </c>
      <c r="J512">
        <v>12</v>
      </c>
    </row>
    <row r="513" spans="1:10" x14ac:dyDescent="0.25">
      <c r="A513" t="s">
        <v>535</v>
      </c>
      <c r="B513" t="s">
        <v>21</v>
      </c>
      <c r="C513" s="1">
        <v>45317</v>
      </c>
      <c r="D513">
        <v>18507</v>
      </c>
      <c r="E513">
        <v>558</v>
      </c>
      <c r="F513">
        <v>0.22</v>
      </c>
      <c r="G513">
        <v>3</v>
      </c>
      <c r="H513" t="s">
        <v>16</v>
      </c>
      <c r="I513" t="s">
        <v>23</v>
      </c>
      <c r="J513">
        <v>31</v>
      </c>
    </row>
    <row r="514" spans="1:10" x14ac:dyDescent="0.25">
      <c r="A514" t="s">
        <v>536</v>
      </c>
      <c r="B514" t="s">
        <v>21</v>
      </c>
      <c r="C514" s="1">
        <v>45874</v>
      </c>
      <c r="D514">
        <v>107064</v>
      </c>
      <c r="E514">
        <v>504</v>
      </c>
      <c r="F514">
        <v>0.25</v>
      </c>
      <c r="G514">
        <v>0</v>
      </c>
      <c r="H514" t="s">
        <v>16</v>
      </c>
      <c r="I514" t="s">
        <v>13</v>
      </c>
      <c r="J514">
        <v>13</v>
      </c>
    </row>
    <row r="515" spans="1:10" x14ac:dyDescent="0.25">
      <c r="A515" t="s">
        <v>537</v>
      </c>
      <c r="B515" t="s">
        <v>15</v>
      </c>
      <c r="C515" s="1">
        <v>45605</v>
      </c>
      <c r="D515">
        <v>113040</v>
      </c>
      <c r="E515">
        <v>779</v>
      </c>
      <c r="F515">
        <v>0.41</v>
      </c>
      <c r="G515">
        <v>0</v>
      </c>
      <c r="H515" t="s">
        <v>22</v>
      </c>
      <c r="I515" t="s">
        <v>13</v>
      </c>
      <c r="J515">
        <v>22</v>
      </c>
    </row>
    <row r="516" spans="1:10" x14ac:dyDescent="0.25">
      <c r="A516" t="s">
        <v>538</v>
      </c>
      <c r="B516" t="s">
        <v>11</v>
      </c>
      <c r="C516" s="1">
        <v>45815</v>
      </c>
      <c r="D516">
        <v>97704</v>
      </c>
      <c r="E516">
        <v>774</v>
      </c>
      <c r="F516">
        <v>0.54</v>
      </c>
      <c r="G516">
        <v>0</v>
      </c>
      <c r="H516" t="s">
        <v>19</v>
      </c>
      <c r="I516" t="s">
        <v>13</v>
      </c>
      <c r="J516">
        <v>15</v>
      </c>
    </row>
    <row r="517" spans="1:10" x14ac:dyDescent="0.25">
      <c r="A517" t="s">
        <v>539</v>
      </c>
      <c r="B517" t="s">
        <v>15</v>
      </c>
      <c r="C517" s="1">
        <v>45573</v>
      </c>
      <c r="D517">
        <v>51275</v>
      </c>
      <c r="E517">
        <v>546</v>
      </c>
      <c r="F517">
        <v>0.34</v>
      </c>
      <c r="G517">
        <v>0</v>
      </c>
      <c r="H517" t="s">
        <v>19</v>
      </c>
      <c r="I517" t="s">
        <v>13</v>
      </c>
      <c r="J517">
        <v>23</v>
      </c>
    </row>
    <row r="518" spans="1:10" x14ac:dyDescent="0.25">
      <c r="A518" t="s">
        <v>540</v>
      </c>
      <c r="B518" t="s">
        <v>15</v>
      </c>
      <c r="C518" s="1">
        <v>45371</v>
      </c>
      <c r="D518">
        <v>29921</v>
      </c>
      <c r="E518">
        <v>779</v>
      </c>
      <c r="F518">
        <v>0.59</v>
      </c>
      <c r="G518">
        <v>0</v>
      </c>
      <c r="H518" t="s">
        <v>16</v>
      </c>
      <c r="I518" t="s">
        <v>13</v>
      </c>
      <c r="J518">
        <v>29</v>
      </c>
    </row>
    <row r="519" spans="1:10" x14ac:dyDescent="0.25">
      <c r="A519" t="s">
        <v>541</v>
      </c>
      <c r="B519" t="s">
        <v>15</v>
      </c>
      <c r="C519" s="1">
        <v>45942</v>
      </c>
      <c r="D519">
        <v>73823</v>
      </c>
      <c r="E519">
        <v>656</v>
      </c>
      <c r="F519">
        <v>0.2</v>
      </c>
      <c r="G519">
        <v>0</v>
      </c>
      <c r="H519" t="s">
        <v>22</v>
      </c>
      <c r="I519" t="s">
        <v>13</v>
      </c>
      <c r="J519">
        <v>10</v>
      </c>
    </row>
    <row r="520" spans="1:10" x14ac:dyDescent="0.25">
      <c r="A520" t="s">
        <v>542</v>
      </c>
      <c r="B520" t="s">
        <v>15</v>
      </c>
      <c r="C520" s="1">
        <v>45763</v>
      </c>
      <c r="D520">
        <v>9090</v>
      </c>
      <c r="E520">
        <v>705</v>
      </c>
      <c r="F520">
        <v>0.46</v>
      </c>
      <c r="G520">
        <v>5</v>
      </c>
      <c r="H520" t="s">
        <v>19</v>
      </c>
      <c r="I520" t="s">
        <v>17</v>
      </c>
      <c r="J520">
        <v>16</v>
      </c>
    </row>
    <row r="521" spans="1:10" x14ac:dyDescent="0.25">
      <c r="A521" t="s">
        <v>543</v>
      </c>
      <c r="B521" t="s">
        <v>21</v>
      </c>
      <c r="C521" s="1">
        <v>45915</v>
      </c>
      <c r="D521">
        <v>77328</v>
      </c>
      <c r="E521">
        <v>467</v>
      </c>
      <c r="F521">
        <v>0.62</v>
      </c>
      <c r="G521">
        <v>2</v>
      </c>
      <c r="H521" t="s">
        <v>27</v>
      </c>
      <c r="I521" t="s">
        <v>23</v>
      </c>
      <c r="J521">
        <v>11</v>
      </c>
    </row>
    <row r="522" spans="1:10" x14ac:dyDescent="0.25">
      <c r="A522" t="s">
        <v>544</v>
      </c>
      <c r="B522" t="s">
        <v>15</v>
      </c>
      <c r="C522" s="1">
        <v>45943</v>
      </c>
      <c r="D522">
        <v>99089</v>
      </c>
      <c r="E522">
        <v>672</v>
      </c>
      <c r="F522">
        <v>0.42</v>
      </c>
      <c r="G522">
        <v>0</v>
      </c>
      <c r="H522" t="s">
        <v>19</v>
      </c>
      <c r="I522" t="s">
        <v>13</v>
      </c>
      <c r="J522">
        <v>10</v>
      </c>
    </row>
    <row r="523" spans="1:10" x14ac:dyDescent="0.25">
      <c r="A523" t="s">
        <v>545</v>
      </c>
      <c r="B523" t="s">
        <v>21</v>
      </c>
      <c r="C523" s="1">
        <v>45516</v>
      </c>
      <c r="D523">
        <v>16434</v>
      </c>
      <c r="E523">
        <v>744</v>
      </c>
      <c r="F523">
        <v>0.26</v>
      </c>
      <c r="G523">
        <v>0</v>
      </c>
      <c r="H523" t="s">
        <v>19</v>
      </c>
      <c r="I523" t="s">
        <v>13</v>
      </c>
      <c r="J523">
        <v>24</v>
      </c>
    </row>
    <row r="524" spans="1:10" x14ac:dyDescent="0.25">
      <c r="A524" t="s">
        <v>546</v>
      </c>
      <c r="B524" t="s">
        <v>21</v>
      </c>
      <c r="C524" s="1">
        <v>45762</v>
      </c>
      <c r="D524">
        <v>27461</v>
      </c>
      <c r="E524">
        <v>626</v>
      </c>
      <c r="F524">
        <v>0.35</v>
      </c>
      <c r="G524">
        <v>6</v>
      </c>
      <c r="H524" t="s">
        <v>12</v>
      </c>
      <c r="I524" t="s">
        <v>23</v>
      </c>
      <c r="J524">
        <v>16</v>
      </c>
    </row>
    <row r="525" spans="1:10" x14ac:dyDescent="0.25">
      <c r="A525" t="s">
        <v>547</v>
      </c>
      <c r="B525" t="s">
        <v>43</v>
      </c>
      <c r="C525" s="1">
        <v>45371</v>
      </c>
      <c r="D525">
        <v>85610</v>
      </c>
      <c r="E525">
        <v>592</v>
      </c>
      <c r="F525">
        <v>0.52</v>
      </c>
      <c r="G525">
        <v>3</v>
      </c>
      <c r="H525" t="s">
        <v>27</v>
      </c>
      <c r="I525" t="s">
        <v>23</v>
      </c>
      <c r="J525">
        <v>29</v>
      </c>
    </row>
    <row r="526" spans="1:10" x14ac:dyDescent="0.25">
      <c r="A526" t="s">
        <v>548</v>
      </c>
      <c r="B526" t="s">
        <v>21</v>
      </c>
      <c r="C526" s="1">
        <v>45915</v>
      </c>
      <c r="D526">
        <v>120647</v>
      </c>
      <c r="E526">
        <v>782</v>
      </c>
      <c r="F526">
        <v>0.39</v>
      </c>
      <c r="G526">
        <v>0</v>
      </c>
      <c r="H526" t="s">
        <v>41</v>
      </c>
      <c r="I526" t="s">
        <v>13</v>
      </c>
      <c r="J526">
        <v>11</v>
      </c>
    </row>
    <row r="527" spans="1:10" x14ac:dyDescent="0.25">
      <c r="A527" t="s">
        <v>549</v>
      </c>
      <c r="B527" t="s">
        <v>11</v>
      </c>
      <c r="C527" s="1">
        <v>45853</v>
      </c>
      <c r="D527">
        <v>63850</v>
      </c>
      <c r="E527">
        <v>709</v>
      </c>
      <c r="F527">
        <v>0.56000000000000005</v>
      </c>
      <c r="G527">
        <v>0</v>
      </c>
      <c r="H527" t="s">
        <v>41</v>
      </c>
      <c r="I527" t="s">
        <v>13</v>
      </c>
      <c r="J527">
        <v>13</v>
      </c>
    </row>
    <row r="528" spans="1:10" x14ac:dyDescent="0.25">
      <c r="A528" t="s">
        <v>550</v>
      </c>
      <c r="B528" t="s">
        <v>11</v>
      </c>
      <c r="C528" s="1">
        <v>45734</v>
      </c>
      <c r="D528">
        <v>92281</v>
      </c>
      <c r="E528">
        <v>669</v>
      </c>
      <c r="F528">
        <v>0.52</v>
      </c>
      <c r="G528">
        <v>0</v>
      </c>
      <c r="H528" t="s">
        <v>12</v>
      </c>
      <c r="I528" t="s">
        <v>13</v>
      </c>
      <c r="J528">
        <v>17</v>
      </c>
    </row>
    <row r="529" spans="1:10" x14ac:dyDescent="0.25">
      <c r="A529" t="s">
        <v>551</v>
      </c>
      <c r="B529" t="s">
        <v>21</v>
      </c>
      <c r="C529" s="1">
        <v>45358</v>
      </c>
      <c r="D529">
        <v>25982</v>
      </c>
      <c r="E529">
        <v>600</v>
      </c>
      <c r="F529">
        <v>0.44</v>
      </c>
      <c r="G529">
        <v>0</v>
      </c>
      <c r="H529" t="s">
        <v>41</v>
      </c>
      <c r="I529" t="s">
        <v>13</v>
      </c>
      <c r="J529">
        <v>30</v>
      </c>
    </row>
    <row r="530" spans="1:10" x14ac:dyDescent="0.25">
      <c r="A530" t="s">
        <v>552</v>
      </c>
      <c r="B530" t="s">
        <v>43</v>
      </c>
      <c r="C530" s="1">
        <v>45732</v>
      </c>
      <c r="D530">
        <v>102847</v>
      </c>
      <c r="E530">
        <v>576</v>
      </c>
      <c r="F530">
        <v>0.44</v>
      </c>
      <c r="G530">
        <v>0</v>
      </c>
      <c r="H530" t="s">
        <v>12</v>
      </c>
      <c r="I530" t="s">
        <v>13</v>
      </c>
      <c r="J530">
        <v>17</v>
      </c>
    </row>
    <row r="531" spans="1:10" x14ac:dyDescent="0.25">
      <c r="A531" t="s">
        <v>553</v>
      </c>
      <c r="B531" t="s">
        <v>43</v>
      </c>
      <c r="C531" s="1">
        <v>45898</v>
      </c>
      <c r="D531">
        <v>99114</v>
      </c>
      <c r="E531">
        <v>782</v>
      </c>
      <c r="F531">
        <v>0.3</v>
      </c>
      <c r="G531">
        <v>3</v>
      </c>
      <c r="H531" t="s">
        <v>19</v>
      </c>
      <c r="I531" t="s">
        <v>17</v>
      </c>
      <c r="J531">
        <v>12</v>
      </c>
    </row>
    <row r="532" spans="1:10" x14ac:dyDescent="0.25">
      <c r="A532" t="s">
        <v>554</v>
      </c>
      <c r="B532" t="s">
        <v>21</v>
      </c>
      <c r="C532" s="1">
        <v>45730</v>
      </c>
      <c r="D532">
        <v>5118</v>
      </c>
      <c r="E532">
        <v>837</v>
      </c>
      <c r="F532">
        <v>0.22</v>
      </c>
      <c r="G532">
        <v>1</v>
      </c>
      <c r="H532" t="s">
        <v>12</v>
      </c>
      <c r="I532" t="s">
        <v>23</v>
      </c>
      <c r="J532">
        <v>17</v>
      </c>
    </row>
    <row r="533" spans="1:10" x14ac:dyDescent="0.25">
      <c r="A533" t="s">
        <v>555</v>
      </c>
      <c r="B533" t="s">
        <v>21</v>
      </c>
      <c r="C533" s="1">
        <v>45298</v>
      </c>
      <c r="D533">
        <v>121366</v>
      </c>
      <c r="E533">
        <v>596</v>
      </c>
      <c r="F533">
        <v>0.64</v>
      </c>
      <c r="G533">
        <v>0</v>
      </c>
      <c r="H533" t="s">
        <v>19</v>
      </c>
      <c r="I533" t="s">
        <v>13</v>
      </c>
      <c r="J533">
        <v>32</v>
      </c>
    </row>
    <row r="534" spans="1:10" x14ac:dyDescent="0.25">
      <c r="A534" t="s">
        <v>556</v>
      </c>
      <c r="B534" t="s">
        <v>21</v>
      </c>
      <c r="C534" s="1">
        <v>45465</v>
      </c>
      <c r="D534">
        <v>16760</v>
      </c>
      <c r="E534">
        <v>-1</v>
      </c>
      <c r="F534">
        <v>0.17</v>
      </c>
      <c r="G534">
        <v>4</v>
      </c>
      <c r="H534" t="s">
        <v>22</v>
      </c>
      <c r="I534" t="s">
        <v>17</v>
      </c>
      <c r="J534">
        <v>26</v>
      </c>
    </row>
    <row r="535" spans="1:10" x14ac:dyDescent="0.25">
      <c r="A535" t="s">
        <v>557</v>
      </c>
      <c r="B535" t="s">
        <v>21</v>
      </c>
      <c r="C535" s="1">
        <v>45695</v>
      </c>
      <c r="D535">
        <v>114254</v>
      </c>
      <c r="E535">
        <v>735</v>
      </c>
      <c r="F535">
        <v>0.22</v>
      </c>
      <c r="G535">
        <v>0</v>
      </c>
      <c r="H535" t="s">
        <v>27</v>
      </c>
      <c r="I535" t="s">
        <v>13</v>
      </c>
      <c r="J535">
        <v>19</v>
      </c>
    </row>
    <row r="536" spans="1:10" x14ac:dyDescent="0.25">
      <c r="A536" t="s">
        <v>558</v>
      </c>
      <c r="B536" t="s">
        <v>15</v>
      </c>
      <c r="C536" s="1">
        <v>45972</v>
      </c>
      <c r="D536">
        <v>15382</v>
      </c>
      <c r="E536">
        <v>480</v>
      </c>
      <c r="F536">
        <v>0.18</v>
      </c>
      <c r="G536">
        <v>0</v>
      </c>
      <c r="H536" t="s">
        <v>27</v>
      </c>
      <c r="I536" t="s">
        <v>23</v>
      </c>
      <c r="J536">
        <v>9</v>
      </c>
    </row>
    <row r="537" spans="1:10" x14ac:dyDescent="0.25">
      <c r="A537" t="s">
        <v>559</v>
      </c>
      <c r="B537" t="s">
        <v>21</v>
      </c>
      <c r="C537" s="1">
        <v>45500</v>
      </c>
      <c r="D537">
        <v>108743</v>
      </c>
      <c r="E537">
        <v>728</v>
      </c>
      <c r="F537">
        <v>0.56000000000000005</v>
      </c>
      <c r="G537">
        <v>6</v>
      </c>
      <c r="H537" t="s">
        <v>41</v>
      </c>
      <c r="I537" t="s">
        <v>23</v>
      </c>
      <c r="J537">
        <v>25</v>
      </c>
    </row>
    <row r="538" spans="1:10" x14ac:dyDescent="0.25">
      <c r="A538" t="s">
        <v>560</v>
      </c>
      <c r="B538" t="s">
        <v>43</v>
      </c>
      <c r="C538" s="1">
        <v>45859</v>
      </c>
      <c r="D538">
        <v>35932</v>
      </c>
      <c r="E538">
        <v>822</v>
      </c>
      <c r="F538">
        <v>0.53</v>
      </c>
      <c r="G538">
        <v>6</v>
      </c>
      <c r="H538" t="s">
        <v>27</v>
      </c>
      <c r="I538" t="s">
        <v>23</v>
      </c>
      <c r="J538">
        <v>13</v>
      </c>
    </row>
    <row r="539" spans="1:10" x14ac:dyDescent="0.25">
      <c r="A539" t="s">
        <v>561</v>
      </c>
      <c r="B539" t="s">
        <v>21</v>
      </c>
      <c r="C539" s="1">
        <v>45885</v>
      </c>
      <c r="D539">
        <v>63493</v>
      </c>
      <c r="E539">
        <v>476</v>
      </c>
      <c r="F539">
        <v>0.39</v>
      </c>
      <c r="G539">
        <v>0</v>
      </c>
      <c r="H539" t="s">
        <v>27</v>
      </c>
      <c r="I539" t="s">
        <v>13</v>
      </c>
      <c r="J539">
        <v>12</v>
      </c>
    </row>
    <row r="540" spans="1:10" x14ac:dyDescent="0.25">
      <c r="A540" t="s">
        <v>562</v>
      </c>
      <c r="B540" t="s">
        <v>15</v>
      </c>
      <c r="C540" s="1">
        <v>45556</v>
      </c>
      <c r="D540">
        <v>68549</v>
      </c>
      <c r="E540">
        <v>624</v>
      </c>
      <c r="F540">
        <v>0.54</v>
      </c>
      <c r="G540">
        <v>0</v>
      </c>
      <c r="H540" t="s">
        <v>19</v>
      </c>
      <c r="I540" t="s">
        <v>13</v>
      </c>
      <c r="J540">
        <v>23</v>
      </c>
    </row>
    <row r="541" spans="1:10" x14ac:dyDescent="0.25">
      <c r="A541" t="s">
        <v>563</v>
      </c>
      <c r="B541" t="s">
        <v>15</v>
      </c>
      <c r="C541" s="1">
        <v>45495</v>
      </c>
      <c r="D541">
        <v>46625</v>
      </c>
      <c r="E541">
        <v>715</v>
      </c>
      <c r="F541">
        <v>0.48</v>
      </c>
      <c r="G541">
        <v>0</v>
      </c>
      <c r="H541" t="s">
        <v>22</v>
      </c>
      <c r="I541" t="s">
        <v>13</v>
      </c>
      <c r="J541">
        <v>25</v>
      </c>
    </row>
    <row r="542" spans="1:10" x14ac:dyDescent="0.25">
      <c r="A542" t="s">
        <v>564</v>
      </c>
      <c r="B542" t="s">
        <v>11</v>
      </c>
      <c r="C542" s="1">
        <v>45517</v>
      </c>
      <c r="D542">
        <v>89777</v>
      </c>
      <c r="E542">
        <v>754</v>
      </c>
      <c r="F542">
        <v>0.21</v>
      </c>
      <c r="G542">
        <v>0</v>
      </c>
      <c r="H542" t="s">
        <v>12</v>
      </c>
      <c r="I542" t="s">
        <v>13</v>
      </c>
      <c r="J542">
        <v>24</v>
      </c>
    </row>
    <row r="543" spans="1:10" x14ac:dyDescent="0.25">
      <c r="A543" t="s">
        <v>565</v>
      </c>
      <c r="B543" t="s">
        <v>15</v>
      </c>
      <c r="C543" s="1">
        <v>45950</v>
      </c>
      <c r="D543">
        <v>32075</v>
      </c>
      <c r="E543">
        <v>641</v>
      </c>
      <c r="F543">
        <v>0.41</v>
      </c>
      <c r="G543">
        <v>0</v>
      </c>
      <c r="H543" t="s">
        <v>19</v>
      </c>
      <c r="I543" t="s">
        <v>13</v>
      </c>
      <c r="J543">
        <v>10</v>
      </c>
    </row>
    <row r="544" spans="1:10" x14ac:dyDescent="0.25">
      <c r="A544" t="s">
        <v>566</v>
      </c>
      <c r="B544" t="s">
        <v>11</v>
      </c>
      <c r="C544" s="1">
        <v>45731</v>
      </c>
      <c r="D544">
        <v>145118</v>
      </c>
      <c r="E544">
        <v>735</v>
      </c>
      <c r="F544">
        <v>0.41</v>
      </c>
      <c r="G544">
        <v>0</v>
      </c>
      <c r="H544" t="s">
        <v>27</v>
      </c>
      <c r="I544" t="s">
        <v>13</v>
      </c>
      <c r="J544">
        <v>17</v>
      </c>
    </row>
    <row r="545" spans="1:10" x14ac:dyDescent="0.25">
      <c r="A545" t="s">
        <v>567</v>
      </c>
      <c r="B545" t="s">
        <v>11</v>
      </c>
      <c r="C545" s="1">
        <v>45437</v>
      </c>
      <c r="D545">
        <v>5135</v>
      </c>
      <c r="E545">
        <v>831</v>
      </c>
      <c r="F545">
        <v>0.45</v>
      </c>
      <c r="G545">
        <v>6</v>
      </c>
      <c r="H545" t="s">
        <v>16</v>
      </c>
      <c r="I545" t="s">
        <v>23</v>
      </c>
      <c r="J545">
        <v>27</v>
      </c>
    </row>
    <row r="546" spans="1:10" x14ac:dyDescent="0.25">
      <c r="A546" t="s">
        <v>568</v>
      </c>
      <c r="B546" t="s">
        <v>11</v>
      </c>
      <c r="C546" s="1">
        <v>45708</v>
      </c>
      <c r="D546">
        <v>69300</v>
      </c>
      <c r="E546">
        <v>723</v>
      </c>
      <c r="F546">
        <v>0.3</v>
      </c>
      <c r="G546">
        <v>0</v>
      </c>
      <c r="H546" t="s">
        <v>19</v>
      </c>
      <c r="I546" t="s">
        <v>13</v>
      </c>
      <c r="J546">
        <v>18</v>
      </c>
    </row>
    <row r="547" spans="1:10" x14ac:dyDescent="0.25">
      <c r="A547" t="s">
        <v>569</v>
      </c>
      <c r="B547" t="s">
        <v>11</v>
      </c>
      <c r="C547" s="1">
        <v>45639</v>
      </c>
      <c r="D547">
        <v>76633</v>
      </c>
      <c r="E547">
        <v>502</v>
      </c>
      <c r="F547">
        <v>0.27</v>
      </c>
      <c r="G547">
        <v>2</v>
      </c>
      <c r="H547" t="s">
        <v>16</v>
      </c>
      <c r="I547" t="s">
        <v>17</v>
      </c>
      <c r="J547">
        <v>20</v>
      </c>
    </row>
    <row r="548" spans="1:10" x14ac:dyDescent="0.25">
      <c r="A548" t="s">
        <v>570</v>
      </c>
      <c r="B548" t="s">
        <v>43</v>
      </c>
      <c r="C548" s="1">
        <v>45576</v>
      </c>
      <c r="D548">
        <v>75582</v>
      </c>
      <c r="E548">
        <v>647</v>
      </c>
      <c r="F548">
        <v>0.21</v>
      </c>
      <c r="G548">
        <v>0</v>
      </c>
      <c r="H548" t="s">
        <v>12</v>
      </c>
      <c r="I548" t="s">
        <v>13</v>
      </c>
      <c r="J548">
        <v>22</v>
      </c>
    </row>
    <row r="549" spans="1:10" x14ac:dyDescent="0.25">
      <c r="A549" t="s">
        <v>571</v>
      </c>
      <c r="B549" t="s">
        <v>21</v>
      </c>
      <c r="C549" s="1">
        <v>45975</v>
      </c>
      <c r="D549">
        <v>142120</v>
      </c>
      <c r="E549">
        <v>632</v>
      </c>
      <c r="F549">
        <v>0.41</v>
      </c>
      <c r="G549">
        <v>0</v>
      </c>
      <c r="H549" t="s">
        <v>12</v>
      </c>
      <c r="I549" t="s">
        <v>17</v>
      </c>
      <c r="J549">
        <v>9</v>
      </c>
    </row>
    <row r="550" spans="1:10" x14ac:dyDescent="0.25">
      <c r="A550" t="s">
        <v>572</v>
      </c>
      <c r="B550" t="s">
        <v>11</v>
      </c>
      <c r="C550" s="1">
        <v>45720</v>
      </c>
      <c r="D550">
        <v>56365</v>
      </c>
      <c r="E550">
        <v>506</v>
      </c>
      <c r="F550">
        <v>0.45</v>
      </c>
      <c r="G550">
        <v>0</v>
      </c>
      <c r="H550" t="s">
        <v>19</v>
      </c>
      <c r="I550" t="s">
        <v>13</v>
      </c>
      <c r="J550">
        <v>18</v>
      </c>
    </row>
    <row r="551" spans="1:10" x14ac:dyDescent="0.25">
      <c r="A551" t="s">
        <v>573</v>
      </c>
      <c r="B551" t="s">
        <v>11</v>
      </c>
      <c r="C551" s="1">
        <v>45811</v>
      </c>
      <c r="D551">
        <v>17663</v>
      </c>
      <c r="E551">
        <v>576</v>
      </c>
      <c r="F551">
        <v>0.26</v>
      </c>
      <c r="G551">
        <v>0</v>
      </c>
      <c r="H551" t="s">
        <v>19</v>
      </c>
      <c r="I551" t="s">
        <v>13</v>
      </c>
      <c r="J551">
        <v>15</v>
      </c>
    </row>
    <row r="552" spans="1:10" x14ac:dyDescent="0.25">
      <c r="A552" t="s">
        <v>574</v>
      </c>
      <c r="B552" t="s">
        <v>15</v>
      </c>
      <c r="C552" s="1">
        <v>45417</v>
      </c>
      <c r="D552">
        <v>132457</v>
      </c>
      <c r="E552">
        <v>457</v>
      </c>
      <c r="F552">
        <v>0.2</v>
      </c>
      <c r="G552">
        <v>0</v>
      </c>
      <c r="H552" t="s">
        <v>27</v>
      </c>
      <c r="I552" t="s">
        <v>13</v>
      </c>
      <c r="J552">
        <v>28</v>
      </c>
    </row>
    <row r="553" spans="1:10" x14ac:dyDescent="0.25">
      <c r="A553" t="s">
        <v>575</v>
      </c>
      <c r="B553" t="s">
        <v>21</v>
      </c>
      <c r="C553" s="1">
        <v>45942</v>
      </c>
      <c r="D553">
        <v>97759</v>
      </c>
      <c r="E553">
        <v>723</v>
      </c>
      <c r="F553">
        <v>0.31</v>
      </c>
      <c r="G553">
        <v>0</v>
      </c>
      <c r="H553" t="s">
        <v>12</v>
      </c>
      <c r="I553" t="s">
        <v>23</v>
      </c>
      <c r="J553">
        <v>10</v>
      </c>
    </row>
    <row r="554" spans="1:10" x14ac:dyDescent="0.25">
      <c r="A554" t="s">
        <v>576</v>
      </c>
      <c r="B554" t="s">
        <v>21</v>
      </c>
      <c r="C554" s="1">
        <v>45850</v>
      </c>
      <c r="D554">
        <v>15630</v>
      </c>
      <c r="E554">
        <v>593</v>
      </c>
      <c r="F554">
        <v>0.59</v>
      </c>
      <c r="G554">
        <v>1</v>
      </c>
      <c r="H554" t="s">
        <v>12</v>
      </c>
      <c r="I554" t="s">
        <v>23</v>
      </c>
      <c r="J554">
        <v>13</v>
      </c>
    </row>
    <row r="555" spans="1:10" x14ac:dyDescent="0.25">
      <c r="A555" t="s">
        <v>577</v>
      </c>
      <c r="B555" t="s">
        <v>21</v>
      </c>
      <c r="C555" s="1">
        <v>45316</v>
      </c>
      <c r="D555">
        <v>110932</v>
      </c>
      <c r="E555">
        <v>839</v>
      </c>
      <c r="F555">
        <v>0.16</v>
      </c>
      <c r="G555">
        <v>0</v>
      </c>
      <c r="H555" t="s">
        <v>27</v>
      </c>
      <c r="I555" t="s">
        <v>13</v>
      </c>
      <c r="J555">
        <v>31</v>
      </c>
    </row>
    <row r="556" spans="1:10" x14ac:dyDescent="0.25">
      <c r="A556" t="s">
        <v>578</v>
      </c>
      <c r="B556" t="s">
        <v>21</v>
      </c>
      <c r="C556" s="1">
        <v>45896</v>
      </c>
      <c r="D556">
        <v>13450</v>
      </c>
      <c r="E556">
        <v>622</v>
      </c>
      <c r="F556">
        <v>0.56999999999999995</v>
      </c>
      <c r="G556">
        <v>0</v>
      </c>
      <c r="H556" t="s">
        <v>19</v>
      </c>
      <c r="I556" t="s">
        <v>13</v>
      </c>
      <c r="J556">
        <v>12</v>
      </c>
    </row>
    <row r="557" spans="1:10" x14ac:dyDescent="0.25">
      <c r="A557" t="s">
        <v>579</v>
      </c>
      <c r="B557" t="s">
        <v>21</v>
      </c>
      <c r="C557" s="1">
        <v>45661</v>
      </c>
      <c r="D557">
        <v>26109</v>
      </c>
      <c r="E557">
        <v>694</v>
      </c>
      <c r="F557">
        <v>0.37</v>
      </c>
      <c r="G557">
        <v>0</v>
      </c>
      <c r="H557" t="s">
        <v>27</v>
      </c>
      <c r="I557" t="s">
        <v>13</v>
      </c>
      <c r="J557">
        <v>20</v>
      </c>
    </row>
    <row r="558" spans="1:10" x14ac:dyDescent="0.25">
      <c r="A558" t="s">
        <v>580</v>
      </c>
      <c r="B558" t="s">
        <v>43</v>
      </c>
      <c r="C558" s="1">
        <v>45541</v>
      </c>
      <c r="D558">
        <v>123249</v>
      </c>
      <c r="E558">
        <v>519</v>
      </c>
      <c r="F558">
        <v>0.33</v>
      </c>
      <c r="G558">
        <v>0</v>
      </c>
      <c r="H558" t="s">
        <v>41</v>
      </c>
      <c r="I558" t="s">
        <v>13</v>
      </c>
      <c r="J558">
        <v>24</v>
      </c>
    </row>
    <row r="559" spans="1:10" x14ac:dyDescent="0.25">
      <c r="A559" t="s">
        <v>581</v>
      </c>
      <c r="B559" t="s">
        <v>21</v>
      </c>
      <c r="C559" s="1">
        <v>45631</v>
      </c>
      <c r="D559">
        <v>31043</v>
      </c>
      <c r="E559">
        <v>-1</v>
      </c>
      <c r="F559">
        <v>0.19</v>
      </c>
      <c r="G559">
        <v>4</v>
      </c>
      <c r="H559" t="s">
        <v>12</v>
      </c>
      <c r="I559" t="s">
        <v>23</v>
      </c>
      <c r="J559">
        <v>21</v>
      </c>
    </row>
    <row r="560" spans="1:10" x14ac:dyDescent="0.25">
      <c r="A560" t="s">
        <v>582</v>
      </c>
      <c r="B560" t="s">
        <v>43</v>
      </c>
      <c r="C560" s="1">
        <v>45883</v>
      </c>
      <c r="D560">
        <v>13223</v>
      </c>
      <c r="E560">
        <v>609</v>
      </c>
      <c r="F560">
        <v>0.51</v>
      </c>
      <c r="G560">
        <v>0</v>
      </c>
      <c r="H560" t="s">
        <v>16</v>
      </c>
      <c r="I560" t="s">
        <v>13</v>
      </c>
      <c r="J560">
        <v>12</v>
      </c>
    </row>
    <row r="561" spans="1:10" x14ac:dyDescent="0.25">
      <c r="A561" t="s">
        <v>583</v>
      </c>
      <c r="B561" t="s">
        <v>43</v>
      </c>
      <c r="C561" s="1">
        <v>45533</v>
      </c>
      <c r="D561">
        <v>31126</v>
      </c>
      <c r="E561">
        <v>569</v>
      </c>
      <c r="F561">
        <v>0.17</v>
      </c>
      <c r="G561">
        <v>0</v>
      </c>
      <c r="H561" t="s">
        <v>19</v>
      </c>
      <c r="I561" t="s">
        <v>13</v>
      </c>
      <c r="J561">
        <v>24</v>
      </c>
    </row>
    <row r="562" spans="1:10" x14ac:dyDescent="0.25">
      <c r="A562" t="s">
        <v>584</v>
      </c>
      <c r="B562" t="s">
        <v>11</v>
      </c>
      <c r="C562" s="1">
        <v>45839</v>
      </c>
      <c r="D562">
        <v>85314</v>
      </c>
      <c r="E562">
        <v>567</v>
      </c>
      <c r="F562">
        <v>0.28000000000000003</v>
      </c>
      <c r="G562">
        <v>3</v>
      </c>
      <c r="H562" t="s">
        <v>16</v>
      </c>
      <c r="I562" t="s">
        <v>17</v>
      </c>
      <c r="J562">
        <v>14</v>
      </c>
    </row>
    <row r="563" spans="1:10" x14ac:dyDescent="0.25">
      <c r="A563" t="s">
        <v>585</v>
      </c>
      <c r="B563" t="s">
        <v>15</v>
      </c>
      <c r="C563" s="1">
        <v>45731</v>
      </c>
      <c r="D563">
        <v>88115</v>
      </c>
      <c r="E563">
        <v>711</v>
      </c>
      <c r="F563">
        <v>0.28999999999999998</v>
      </c>
      <c r="G563">
        <v>6</v>
      </c>
      <c r="H563" t="s">
        <v>22</v>
      </c>
      <c r="I563" t="s">
        <v>23</v>
      </c>
      <c r="J563">
        <v>17</v>
      </c>
    </row>
    <row r="564" spans="1:10" x14ac:dyDescent="0.25">
      <c r="A564" t="s">
        <v>586</v>
      </c>
      <c r="B564" t="s">
        <v>43</v>
      </c>
      <c r="C564" s="1">
        <v>45898</v>
      </c>
      <c r="D564">
        <v>72718</v>
      </c>
      <c r="E564">
        <v>714</v>
      </c>
      <c r="F564">
        <v>0.62</v>
      </c>
      <c r="G564">
        <v>5</v>
      </c>
      <c r="H564" t="s">
        <v>16</v>
      </c>
      <c r="I564" t="s">
        <v>23</v>
      </c>
      <c r="J564">
        <v>12</v>
      </c>
    </row>
    <row r="565" spans="1:10" x14ac:dyDescent="0.25">
      <c r="A565" t="s">
        <v>587</v>
      </c>
      <c r="B565" t="s">
        <v>15</v>
      </c>
      <c r="C565" s="1">
        <v>45478</v>
      </c>
      <c r="D565">
        <v>18026</v>
      </c>
      <c r="E565">
        <v>823</v>
      </c>
      <c r="F565">
        <v>0.31</v>
      </c>
      <c r="G565">
        <v>0</v>
      </c>
      <c r="H565" t="s">
        <v>12</v>
      </c>
      <c r="I565" t="s">
        <v>13</v>
      </c>
      <c r="J565">
        <v>26</v>
      </c>
    </row>
    <row r="566" spans="1:10" x14ac:dyDescent="0.25">
      <c r="A566" t="s">
        <v>588</v>
      </c>
      <c r="B566" t="s">
        <v>21</v>
      </c>
      <c r="C566" s="1">
        <v>45357</v>
      </c>
      <c r="D566">
        <v>64734</v>
      </c>
      <c r="E566">
        <v>563</v>
      </c>
      <c r="F566">
        <v>0.5</v>
      </c>
      <c r="G566">
        <v>0</v>
      </c>
      <c r="H566" t="s">
        <v>16</v>
      </c>
      <c r="I566" t="s">
        <v>13</v>
      </c>
      <c r="J566">
        <v>30</v>
      </c>
    </row>
    <row r="567" spans="1:10" x14ac:dyDescent="0.25">
      <c r="A567" t="s">
        <v>589</v>
      </c>
      <c r="B567" t="s">
        <v>15</v>
      </c>
      <c r="C567" s="1">
        <v>45431</v>
      </c>
      <c r="D567">
        <v>17969</v>
      </c>
      <c r="E567">
        <v>793</v>
      </c>
      <c r="F567">
        <v>0.63</v>
      </c>
      <c r="G567">
        <v>0</v>
      </c>
      <c r="H567" t="s">
        <v>22</v>
      </c>
      <c r="I567" t="s">
        <v>13</v>
      </c>
      <c r="J567">
        <v>27</v>
      </c>
    </row>
    <row r="568" spans="1:10" x14ac:dyDescent="0.25">
      <c r="A568" t="s">
        <v>590</v>
      </c>
      <c r="B568" t="s">
        <v>21</v>
      </c>
      <c r="C568" s="1">
        <v>45401</v>
      </c>
      <c r="D568">
        <v>44289</v>
      </c>
      <c r="E568">
        <v>709</v>
      </c>
      <c r="F568">
        <v>0.31</v>
      </c>
      <c r="G568">
        <v>3</v>
      </c>
      <c r="H568" t="s">
        <v>12</v>
      </c>
      <c r="I568" t="s">
        <v>23</v>
      </c>
      <c r="J568">
        <v>28</v>
      </c>
    </row>
    <row r="569" spans="1:10" x14ac:dyDescent="0.25">
      <c r="A569" t="s">
        <v>591</v>
      </c>
      <c r="B569" t="s">
        <v>15</v>
      </c>
      <c r="C569" s="1">
        <v>45758</v>
      </c>
      <c r="D569">
        <v>29741</v>
      </c>
      <c r="E569">
        <v>701</v>
      </c>
      <c r="F569">
        <v>0.31</v>
      </c>
      <c r="G569">
        <v>2</v>
      </c>
      <c r="H569" t="s">
        <v>27</v>
      </c>
      <c r="I569" t="s">
        <v>17</v>
      </c>
      <c r="J569">
        <v>16</v>
      </c>
    </row>
    <row r="570" spans="1:10" x14ac:dyDescent="0.25">
      <c r="A570" t="s">
        <v>592</v>
      </c>
      <c r="B570" t="s">
        <v>15</v>
      </c>
      <c r="C570" s="1">
        <v>45774</v>
      </c>
      <c r="D570">
        <v>81547</v>
      </c>
      <c r="E570">
        <v>542</v>
      </c>
      <c r="F570">
        <v>0.42</v>
      </c>
      <c r="G570">
        <v>0</v>
      </c>
      <c r="H570" t="s">
        <v>22</v>
      </c>
      <c r="I570" t="s">
        <v>13</v>
      </c>
      <c r="J570">
        <v>16</v>
      </c>
    </row>
    <row r="571" spans="1:10" x14ac:dyDescent="0.25">
      <c r="A571" t="s">
        <v>593</v>
      </c>
      <c r="B571" t="s">
        <v>43</v>
      </c>
      <c r="C571" s="1">
        <v>45853</v>
      </c>
      <c r="D571">
        <v>58099</v>
      </c>
      <c r="E571">
        <v>527</v>
      </c>
      <c r="F571">
        <v>0.17</v>
      </c>
      <c r="G571">
        <v>0</v>
      </c>
      <c r="H571" t="s">
        <v>16</v>
      </c>
      <c r="I571" t="s">
        <v>13</v>
      </c>
      <c r="J571">
        <v>13</v>
      </c>
    </row>
    <row r="572" spans="1:10" x14ac:dyDescent="0.25">
      <c r="A572" t="s">
        <v>594</v>
      </c>
      <c r="B572" t="s">
        <v>21</v>
      </c>
      <c r="C572" s="1">
        <v>45982</v>
      </c>
      <c r="D572">
        <v>65501</v>
      </c>
      <c r="E572">
        <v>455</v>
      </c>
      <c r="F572">
        <v>0.32</v>
      </c>
      <c r="G572">
        <v>0</v>
      </c>
      <c r="H572" t="s">
        <v>12</v>
      </c>
      <c r="I572" t="s">
        <v>13</v>
      </c>
      <c r="J572">
        <v>9</v>
      </c>
    </row>
    <row r="573" spans="1:10" x14ac:dyDescent="0.25">
      <c r="A573" t="s">
        <v>595</v>
      </c>
      <c r="B573" t="s">
        <v>21</v>
      </c>
      <c r="C573" s="1">
        <v>45313</v>
      </c>
      <c r="D573">
        <v>137122</v>
      </c>
      <c r="E573">
        <v>605</v>
      </c>
      <c r="F573">
        <v>0.4</v>
      </c>
      <c r="G573">
        <v>0</v>
      </c>
      <c r="H573" t="s">
        <v>12</v>
      </c>
      <c r="I573" t="s">
        <v>13</v>
      </c>
      <c r="J573">
        <v>31</v>
      </c>
    </row>
    <row r="574" spans="1:10" x14ac:dyDescent="0.25">
      <c r="A574" t="s">
        <v>596</v>
      </c>
      <c r="B574" t="s">
        <v>21</v>
      </c>
      <c r="C574" s="1">
        <v>45453</v>
      </c>
      <c r="D574">
        <v>99210</v>
      </c>
      <c r="E574">
        <v>490</v>
      </c>
      <c r="F574">
        <v>0.24</v>
      </c>
      <c r="G574">
        <v>0</v>
      </c>
      <c r="H574" t="s">
        <v>27</v>
      </c>
      <c r="I574" t="s">
        <v>17</v>
      </c>
      <c r="J574">
        <v>26</v>
      </c>
    </row>
    <row r="575" spans="1:10" x14ac:dyDescent="0.25">
      <c r="A575" t="s">
        <v>597</v>
      </c>
      <c r="B575" t="s">
        <v>11</v>
      </c>
      <c r="C575" s="1">
        <v>45837</v>
      </c>
      <c r="D575">
        <v>44362</v>
      </c>
      <c r="E575">
        <v>788</v>
      </c>
      <c r="F575">
        <v>0.28000000000000003</v>
      </c>
      <c r="G575">
        <v>4</v>
      </c>
      <c r="H575" t="s">
        <v>19</v>
      </c>
      <c r="I575" t="s">
        <v>23</v>
      </c>
      <c r="J575">
        <v>14</v>
      </c>
    </row>
    <row r="576" spans="1:10" x14ac:dyDescent="0.25">
      <c r="A576" t="s">
        <v>598</v>
      </c>
      <c r="B576" t="s">
        <v>21</v>
      </c>
      <c r="C576" s="1">
        <v>45354</v>
      </c>
      <c r="D576">
        <v>129189</v>
      </c>
      <c r="E576">
        <v>585</v>
      </c>
      <c r="F576">
        <v>0.54</v>
      </c>
      <c r="G576">
        <v>0</v>
      </c>
      <c r="H576" t="s">
        <v>27</v>
      </c>
      <c r="I576" t="s">
        <v>13</v>
      </c>
      <c r="J576">
        <v>30</v>
      </c>
    </row>
    <row r="577" spans="1:10" x14ac:dyDescent="0.25">
      <c r="A577" t="s">
        <v>599</v>
      </c>
      <c r="B577" t="s">
        <v>43</v>
      </c>
      <c r="C577" s="1">
        <v>45387</v>
      </c>
      <c r="D577">
        <v>110496</v>
      </c>
      <c r="E577">
        <v>533</v>
      </c>
      <c r="F577">
        <v>0.35</v>
      </c>
      <c r="G577">
        <v>4</v>
      </c>
      <c r="H577" t="s">
        <v>19</v>
      </c>
      <c r="I577" t="s">
        <v>17</v>
      </c>
      <c r="J577">
        <v>29</v>
      </c>
    </row>
    <row r="578" spans="1:10" x14ac:dyDescent="0.25">
      <c r="A578" t="s">
        <v>600</v>
      </c>
      <c r="B578" t="s">
        <v>43</v>
      </c>
      <c r="C578" s="1">
        <v>45416</v>
      </c>
      <c r="D578">
        <v>120517</v>
      </c>
      <c r="E578">
        <v>644</v>
      </c>
      <c r="F578">
        <v>0.48</v>
      </c>
      <c r="G578">
        <v>0</v>
      </c>
      <c r="H578" t="s">
        <v>16</v>
      </c>
      <c r="I578" t="s">
        <v>13</v>
      </c>
      <c r="J578">
        <v>28</v>
      </c>
    </row>
    <row r="579" spans="1:10" x14ac:dyDescent="0.25">
      <c r="A579" t="s">
        <v>601</v>
      </c>
      <c r="B579" t="s">
        <v>15</v>
      </c>
      <c r="C579" s="1">
        <v>45887</v>
      </c>
      <c r="D579">
        <v>92011</v>
      </c>
      <c r="E579">
        <v>609</v>
      </c>
      <c r="F579">
        <v>0.63</v>
      </c>
      <c r="G579">
        <v>0</v>
      </c>
      <c r="H579" t="s">
        <v>19</v>
      </c>
      <c r="I579" t="s">
        <v>13</v>
      </c>
      <c r="J579">
        <v>12</v>
      </c>
    </row>
    <row r="580" spans="1:10" x14ac:dyDescent="0.25">
      <c r="A580" t="s">
        <v>602</v>
      </c>
      <c r="B580" t="s">
        <v>21</v>
      </c>
      <c r="C580" s="1">
        <v>45823</v>
      </c>
      <c r="D580">
        <v>142508</v>
      </c>
      <c r="E580">
        <v>608</v>
      </c>
      <c r="F580">
        <v>0.17</v>
      </c>
      <c r="G580">
        <v>0</v>
      </c>
      <c r="H580" t="s">
        <v>19</v>
      </c>
      <c r="I580" t="s">
        <v>13</v>
      </c>
      <c r="J580">
        <v>14</v>
      </c>
    </row>
    <row r="581" spans="1:10" x14ac:dyDescent="0.25">
      <c r="A581" t="s">
        <v>603</v>
      </c>
      <c r="B581" t="s">
        <v>11</v>
      </c>
      <c r="C581" s="1">
        <v>45889</v>
      </c>
      <c r="D581">
        <v>7616</v>
      </c>
      <c r="E581">
        <v>693</v>
      </c>
      <c r="F581">
        <v>0.64</v>
      </c>
      <c r="G581">
        <v>3</v>
      </c>
      <c r="H581" t="s">
        <v>22</v>
      </c>
      <c r="I581" t="s">
        <v>17</v>
      </c>
      <c r="J581">
        <v>12</v>
      </c>
    </row>
    <row r="582" spans="1:10" x14ac:dyDescent="0.25">
      <c r="A582" t="s">
        <v>604</v>
      </c>
      <c r="B582" t="s">
        <v>21</v>
      </c>
      <c r="C582" s="1">
        <v>45571</v>
      </c>
      <c r="D582">
        <v>63082</v>
      </c>
      <c r="E582">
        <v>545</v>
      </c>
      <c r="F582">
        <v>0.2</v>
      </c>
      <c r="G582">
        <v>0</v>
      </c>
      <c r="H582" t="s">
        <v>22</v>
      </c>
      <c r="I582" t="s">
        <v>13</v>
      </c>
      <c r="J582">
        <v>23</v>
      </c>
    </row>
    <row r="583" spans="1:10" x14ac:dyDescent="0.25">
      <c r="A583" t="s">
        <v>605</v>
      </c>
      <c r="B583" t="s">
        <v>11</v>
      </c>
      <c r="C583" s="1">
        <v>45436</v>
      </c>
      <c r="D583">
        <v>124143</v>
      </c>
      <c r="E583">
        <v>465</v>
      </c>
      <c r="F583">
        <v>0.39</v>
      </c>
      <c r="G583">
        <v>3</v>
      </c>
      <c r="H583" t="s">
        <v>12</v>
      </c>
      <c r="I583" t="s">
        <v>17</v>
      </c>
      <c r="J583">
        <v>27</v>
      </c>
    </row>
    <row r="584" spans="1:10" x14ac:dyDescent="0.25">
      <c r="A584" t="s">
        <v>606</v>
      </c>
      <c r="B584" t="s">
        <v>43</v>
      </c>
      <c r="C584" s="1">
        <v>45791</v>
      </c>
      <c r="D584">
        <v>86700</v>
      </c>
      <c r="E584">
        <v>766</v>
      </c>
      <c r="F584">
        <v>0.44</v>
      </c>
      <c r="G584">
        <v>0</v>
      </c>
      <c r="H584" t="s">
        <v>27</v>
      </c>
      <c r="I584" t="s">
        <v>13</v>
      </c>
      <c r="J584">
        <v>15</v>
      </c>
    </row>
    <row r="585" spans="1:10" x14ac:dyDescent="0.25">
      <c r="A585" t="s">
        <v>607</v>
      </c>
      <c r="B585" t="s">
        <v>21</v>
      </c>
      <c r="C585" s="1">
        <v>45980</v>
      </c>
      <c r="D585">
        <v>52103</v>
      </c>
      <c r="E585">
        <v>830</v>
      </c>
      <c r="F585">
        <v>0.28999999999999998</v>
      </c>
      <c r="G585">
        <v>0</v>
      </c>
      <c r="H585" t="s">
        <v>19</v>
      </c>
      <c r="I585" t="s">
        <v>13</v>
      </c>
      <c r="J585">
        <v>9</v>
      </c>
    </row>
    <row r="586" spans="1:10" x14ac:dyDescent="0.25">
      <c r="A586" t="s">
        <v>608</v>
      </c>
      <c r="B586" t="s">
        <v>11</v>
      </c>
      <c r="C586" s="1">
        <v>45348</v>
      </c>
      <c r="D586">
        <v>136906</v>
      </c>
      <c r="E586">
        <v>747</v>
      </c>
      <c r="F586">
        <v>0.52</v>
      </c>
      <c r="G586">
        <v>0</v>
      </c>
      <c r="H586" t="s">
        <v>41</v>
      </c>
      <c r="I586" t="s">
        <v>13</v>
      </c>
      <c r="J586">
        <v>30</v>
      </c>
    </row>
    <row r="587" spans="1:10" x14ac:dyDescent="0.25">
      <c r="A587" t="s">
        <v>609</v>
      </c>
      <c r="B587" t="s">
        <v>43</v>
      </c>
      <c r="C587" s="1">
        <v>45386</v>
      </c>
      <c r="D587">
        <v>15394</v>
      </c>
      <c r="E587">
        <v>607</v>
      </c>
      <c r="F587">
        <v>0.45</v>
      </c>
      <c r="G587">
        <v>0</v>
      </c>
      <c r="H587" t="s">
        <v>19</v>
      </c>
      <c r="I587" t="s">
        <v>13</v>
      </c>
      <c r="J587">
        <v>29</v>
      </c>
    </row>
    <row r="588" spans="1:10" x14ac:dyDescent="0.25">
      <c r="A588" t="s">
        <v>610</v>
      </c>
      <c r="B588" t="s">
        <v>21</v>
      </c>
      <c r="C588" s="1">
        <v>45670</v>
      </c>
      <c r="D588">
        <v>15556</v>
      </c>
      <c r="E588">
        <v>543</v>
      </c>
      <c r="F588">
        <v>0.22</v>
      </c>
      <c r="G588">
        <v>3</v>
      </c>
      <c r="H588" t="s">
        <v>12</v>
      </c>
      <c r="I588" t="s">
        <v>17</v>
      </c>
      <c r="J588">
        <v>19</v>
      </c>
    </row>
    <row r="589" spans="1:10" x14ac:dyDescent="0.25">
      <c r="A589" t="s">
        <v>611</v>
      </c>
      <c r="B589" t="s">
        <v>15</v>
      </c>
      <c r="C589" s="1">
        <v>45528</v>
      </c>
      <c r="D589">
        <v>58923</v>
      </c>
      <c r="E589">
        <v>704</v>
      </c>
      <c r="F589">
        <v>0.27</v>
      </c>
      <c r="G589">
        <v>0</v>
      </c>
      <c r="H589" t="s">
        <v>27</v>
      </c>
      <c r="I589" t="s">
        <v>13</v>
      </c>
      <c r="J589">
        <v>24</v>
      </c>
    </row>
    <row r="590" spans="1:10" x14ac:dyDescent="0.25">
      <c r="A590" t="s">
        <v>612</v>
      </c>
      <c r="B590" t="s">
        <v>11</v>
      </c>
      <c r="C590" s="1">
        <v>45881</v>
      </c>
      <c r="D590">
        <v>46851</v>
      </c>
      <c r="E590">
        <v>810</v>
      </c>
      <c r="F590">
        <v>0.27</v>
      </c>
      <c r="G590">
        <v>5</v>
      </c>
      <c r="H590" t="s">
        <v>12</v>
      </c>
      <c r="I590" t="s">
        <v>23</v>
      </c>
      <c r="J590">
        <v>12</v>
      </c>
    </row>
    <row r="591" spans="1:10" x14ac:dyDescent="0.25">
      <c r="A591" t="s">
        <v>613</v>
      </c>
      <c r="B591" t="s">
        <v>21</v>
      </c>
      <c r="C591" s="1">
        <v>45559</v>
      </c>
      <c r="D591">
        <v>58185</v>
      </c>
      <c r="E591">
        <v>528</v>
      </c>
      <c r="F591">
        <v>0.23</v>
      </c>
      <c r="G591">
        <v>0</v>
      </c>
      <c r="H591" t="s">
        <v>16</v>
      </c>
      <c r="I591" t="s">
        <v>13</v>
      </c>
      <c r="J591">
        <v>23</v>
      </c>
    </row>
    <row r="592" spans="1:10" x14ac:dyDescent="0.25">
      <c r="A592" t="s">
        <v>614</v>
      </c>
      <c r="B592" t="s">
        <v>21</v>
      </c>
      <c r="C592" s="1">
        <v>45460</v>
      </c>
      <c r="D592">
        <v>7940</v>
      </c>
      <c r="E592">
        <v>704</v>
      </c>
      <c r="F592">
        <v>0.28000000000000003</v>
      </c>
      <c r="G592">
        <v>3</v>
      </c>
      <c r="H592" t="s">
        <v>19</v>
      </c>
      <c r="I592" t="s">
        <v>23</v>
      </c>
      <c r="J592">
        <v>26</v>
      </c>
    </row>
    <row r="593" spans="1:10" x14ac:dyDescent="0.25">
      <c r="A593" t="s">
        <v>615</v>
      </c>
      <c r="B593" t="s">
        <v>43</v>
      </c>
      <c r="C593" s="1">
        <v>45566</v>
      </c>
      <c r="D593">
        <v>82771</v>
      </c>
      <c r="E593">
        <v>748</v>
      </c>
      <c r="F593">
        <v>0.22</v>
      </c>
      <c r="G593">
        <v>0</v>
      </c>
      <c r="H593" t="s">
        <v>16</v>
      </c>
      <c r="I593" t="s">
        <v>13</v>
      </c>
      <c r="J593">
        <v>23</v>
      </c>
    </row>
    <row r="594" spans="1:10" x14ac:dyDescent="0.25">
      <c r="A594" t="s">
        <v>616</v>
      </c>
      <c r="B594" t="s">
        <v>15</v>
      </c>
      <c r="C594" s="1">
        <v>45691</v>
      </c>
      <c r="D594">
        <v>21732</v>
      </c>
      <c r="E594">
        <v>797</v>
      </c>
      <c r="F594">
        <v>0.28999999999999998</v>
      </c>
      <c r="G594">
        <v>6</v>
      </c>
      <c r="H594" t="s">
        <v>19</v>
      </c>
      <c r="I594" t="s">
        <v>23</v>
      </c>
      <c r="J594">
        <v>19</v>
      </c>
    </row>
    <row r="595" spans="1:10" x14ac:dyDescent="0.25">
      <c r="A595" t="s">
        <v>617</v>
      </c>
      <c r="B595" t="s">
        <v>21</v>
      </c>
      <c r="C595" s="1">
        <v>45632</v>
      </c>
      <c r="D595">
        <v>110401</v>
      </c>
      <c r="E595">
        <v>801</v>
      </c>
      <c r="F595">
        <v>0.23</v>
      </c>
      <c r="G595">
        <v>3</v>
      </c>
      <c r="H595" t="s">
        <v>19</v>
      </c>
      <c r="I595" t="s">
        <v>17</v>
      </c>
      <c r="J595">
        <v>21</v>
      </c>
    </row>
    <row r="596" spans="1:10" x14ac:dyDescent="0.25">
      <c r="A596" t="s">
        <v>618</v>
      </c>
      <c r="B596" t="s">
        <v>21</v>
      </c>
      <c r="C596" s="1">
        <v>45648</v>
      </c>
      <c r="D596">
        <v>61508</v>
      </c>
      <c r="E596">
        <v>661</v>
      </c>
      <c r="F596">
        <v>0.65</v>
      </c>
      <c r="G596">
        <v>2</v>
      </c>
      <c r="H596" t="s">
        <v>41</v>
      </c>
      <c r="I596" t="s">
        <v>23</v>
      </c>
      <c r="J596">
        <v>20</v>
      </c>
    </row>
    <row r="597" spans="1:10" x14ac:dyDescent="0.25">
      <c r="A597" t="s">
        <v>619</v>
      </c>
      <c r="B597" t="s">
        <v>11</v>
      </c>
      <c r="C597" s="1">
        <v>45474</v>
      </c>
      <c r="D597">
        <v>86876</v>
      </c>
      <c r="E597">
        <v>658</v>
      </c>
      <c r="F597">
        <v>0.64</v>
      </c>
      <c r="G597">
        <v>0</v>
      </c>
      <c r="H597" t="s">
        <v>12</v>
      </c>
      <c r="I597" t="s">
        <v>13</v>
      </c>
      <c r="J597">
        <v>26</v>
      </c>
    </row>
    <row r="598" spans="1:10" x14ac:dyDescent="0.25">
      <c r="A598" t="s">
        <v>620</v>
      </c>
      <c r="B598" t="s">
        <v>43</v>
      </c>
      <c r="C598" s="1">
        <v>45697</v>
      </c>
      <c r="D598">
        <v>95371</v>
      </c>
      <c r="E598">
        <v>687</v>
      </c>
      <c r="F598">
        <v>0.44</v>
      </c>
      <c r="G598">
        <v>0</v>
      </c>
      <c r="H598" t="s">
        <v>22</v>
      </c>
      <c r="I598" t="s">
        <v>13</v>
      </c>
      <c r="J598">
        <v>19</v>
      </c>
    </row>
    <row r="599" spans="1:10" x14ac:dyDescent="0.25">
      <c r="A599" t="s">
        <v>621</v>
      </c>
      <c r="B599" t="s">
        <v>43</v>
      </c>
      <c r="C599" s="1">
        <v>45870</v>
      </c>
      <c r="D599">
        <v>132389</v>
      </c>
      <c r="E599">
        <v>485</v>
      </c>
      <c r="F599">
        <v>0.38</v>
      </c>
      <c r="G599">
        <v>5</v>
      </c>
      <c r="H599" t="s">
        <v>41</v>
      </c>
      <c r="I599" t="s">
        <v>23</v>
      </c>
      <c r="J599">
        <v>13</v>
      </c>
    </row>
    <row r="600" spans="1:10" x14ac:dyDescent="0.25">
      <c r="A600" t="s">
        <v>622</v>
      </c>
      <c r="B600" t="s">
        <v>21</v>
      </c>
      <c r="C600" s="1">
        <v>45384</v>
      </c>
      <c r="D600">
        <v>148744</v>
      </c>
      <c r="E600">
        <v>740</v>
      </c>
      <c r="F600">
        <v>0.51</v>
      </c>
      <c r="G600">
        <v>0</v>
      </c>
      <c r="H600" t="s">
        <v>12</v>
      </c>
      <c r="I600" t="s">
        <v>13</v>
      </c>
      <c r="J600">
        <v>29</v>
      </c>
    </row>
    <row r="601" spans="1:10" x14ac:dyDescent="0.25">
      <c r="A601" t="s">
        <v>623</v>
      </c>
      <c r="B601" t="s">
        <v>11</v>
      </c>
      <c r="C601" s="1">
        <v>45717</v>
      </c>
      <c r="D601">
        <v>56372</v>
      </c>
      <c r="E601">
        <v>516</v>
      </c>
      <c r="F601">
        <v>0.48</v>
      </c>
      <c r="G601">
        <v>0</v>
      </c>
      <c r="H601" t="s">
        <v>19</v>
      </c>
      <c r="I601" t="s">
        <v>13</v>
      </c>
      <c r="J601">
        <v>18</v>
      </c>
    </row>
    <row r="602" spans="1:10" x14ac:dyDescent="0.25">
      <c r="A602" t="s">
        <v>624</v>
      </c>
      <c r="B602" t="s">
        <v>21</v>
      </c>
      <c r="C602" s="1">
        <v>45702</v>
      </c>
      <c r="D602">
        <v>87417</v>
      </c>
      <c r="E602">
        <v>-1</v>
      </c>
      <c r="F602">
        <v>0.16</v>
      </c>
      <c r="G602">
        <v>0</v>
      </c>
      <c r="H602" t="s">
        <v>27</v>
      </c>
      <c r="I602" t="s">
        <v>13</v>
      </c>
      <c r="J602">
        <v>18</v>
      </c>
    </row>
    <row r="603" spans="1:10" x14ac:dyDescent="0.25">
      <c r="A603" t="s">
        <v>625</v>
      </c>
      <c r="B603" t="s">
        <v>43</v>
      </c>
      <c r="C603" s="1">
        <v>45490</v>
      </c>
      <c r="D603">
        <v>99655</v>
      </c>
      <c r="E603">
        <v>536</v>
      </c>
      <c r="F603">
        <v>0.43</v>
      </c>
      <c r="G603">
        <v>0</v>
      </c>
      <c r="H603" t="s">
        <v>16</v>
      </c>
      <c r="I603" t="s">
        <v>13</v>
      </c>
      <c r="J603">
        <v>25</v>
      </c>
    </row>
    <row r="604" spans="1:10" x14ac:dyDescent="0.25">
      <c r="A604" t="s">
        <v>626</v>
      </c>
      <c r="B604" t="s">
        <v>15</v>
      </c>
      <c r="C604" s="1">
        <v>45933</v>
      </c>
      <c r="D604">
        <v>36734</v>
      </c>
      <c r="E604">
        <v>736</v>
      </c>
      <c r="F604">
        <v>0.15</v>
      </c>
      <c r="G604">
        <v>0</v>
      </c>
      <c r="H604" t="s">
        <v>41</v>
      </c>
      <c r="I604" t="s">
        <v>13</v>
      </c>
      <c r="J604">
        <v>11</v>
      </c>
    </row>
    <row r="605" spans="1:10" x14ac:dyDescent="0.25">
      <c r="A605" t="s">
        <v>627</v>
      </c>
      <c r="B605" t="s">
        <v>43</v>
      </c>
      <c r="C605" s="1">
        <v>45936</v>
      </c>
      <c r="D605">
        <v>86485</v>
      </c>
      <c r="E605">
        <v>770</v>
      </c>
      <c r="F605">
        <v>0.55000000000000004</v>
      </c>
      <c r="G605">
        <v>0</v>
      </c>
      <c r="H605" t="s">
        <v>19</v>
      </c>
      <c r="I605" t="s">
        <v>13</v>
      </c>
      <c r="J605">
        <v>11</v>
      </c>
    </row>
    <row r="606" spans="1:10" x14ac:dyDescent="0.25">
      <c r="A606" t="s">
        <v>628</v>
      </c>
      <c r="B606" t="s">
        <v>43</v>
      </c>
      <c r="C606" s="1">
        <v>45728</v>
      </c>
      <c r="D606">
        <v>50096</v>
      </c>
      <c r="E606">
        <v>620</v>
      </c>
      <c r="F606">
        <v>0.51</v>
      </c>
      <c r="G606">
        <v>3</v>
      </c>
      <c r="H606" t="s">
        <v>22</v>
      </c>
      <c r="I606" t="s">
        <v>17</v>
      </c>
      <c r="J606">
        <v>17</v>
      </c>
    </row>
    <row r="607" spans="1:10" x14ac:dyDescent="0.25">
      <c r="A607" t="s">
        <v>629</v>
      </c>
      <c r="B607" t="s">
        <v>11</v>
      </c>
      <c r="C607" s="1">
        <v>45551</v>
      </c>
      <c r="D607">
        <v>11017</v>
      </c>
      <c r="E607">
        <v>607</v>
      </c>
      <c r="F607">
        <v>0.16</v>
      </c>
      <c r="G607">
        <v>0</v>
      </c>
      <c r="H607" t="s">
        <v>19</v>
      </c>
      <c r="I607" t="s">
        <v>13</v>
      </c>
      <c r="J607">
        <v>23</v>
      </c>
    </row>
    <row r="608" spans="1:10" x14ac:dyDescent="0.25">
      <c r="A608" t="s">
        <v>630</v>
      </c>
      <c r="B608" t="s">
        <v>15</v>
      </c>
      <c r="C608" s="1">
        <v>45702</v>
      </c>
      <c r="D608">
        <v>116154</v>
      </c>
      <c r="E608">
        <v>540</v>
      </c>
      <c r="F608">
        <v>0.41</v>
      </c>
      <c r="G608">
        <v>0</v>
      </c>
      <c r="H608" t="s">
        <v>12</v>
      </c>
      <c r="I608" t="s">
        <v>13</v>
      </c>
      <c r="J608">
        <v>18</v>
      </c>
    </row>
    <row r="609" spans="1:10" x14ac:dyDescent="0.25">
      <c r="A609" t="s">
        <v>631</v>
      </c>
      <c r="B609" t="s">
        <v>21</v>
      </c>
      <c r="C609" s="1">
        <v>45500</v>
      </c>
      <c r="D609">
        <v>117003</v>
      </c>
      <c r="E609">
        <v>688</v>
      </c>
      <c r="F609">
        <v>0.31</v>
      </c>
      <c r="G609">
        <v>0</v>
      </c>
      <c r="H609" t="s">
        <v>19</v>
      </c>
      <c r="I609" t="s">
        <v>13</v>
      </c>
      <c r="J609">
        <v>25</v>
      </c>
    </row>
    <row r="610" spans="1:10" x14ac:dyDescent="0.25">
      <c r="A610" t="s">
        <v>632</v>
      </c>
      <c r="B610" t="s">
        <v>21</v>
      </c>
      <c r="C610" s="1">
        <v>45976</v>
      </c>
      <c r="D610">
        <v>19364</v>
      </c>
      <c r="E610">
        <v>725</v>
      </c>
      <c r="F610">
        <v>0.15</v>
      </c>
      <c r="G610">
        <v>0</v>
      </c>
      <c r="H610" t="s">
        <v>12</v>
      </c>
      <c r="I610" t="s">
        <v>13</v>
      </c>
      <c r="J610">
        <v>9</v>
      </c>
    </row>
    <row r="611" spans="1:10" x14ac:dyDescent="0.25">
      <c r="A611" t="s">
        <v>633</v>
      </c>
      <c r="B611" t="s">
        <v>43</v>
      </c>
      <c r="C611" s="1">
        <v>45576</v>
      </c>
      <c r="D611">
        <v>117043</v>
      </c>
      <c r="E611">
        <v>551</v>
      </c>
      <c r="F611">
        <v>0.35</v>
      </c>
      <c r="G611">
        <v>0</v>
      </c>
      <c r="H611" t="s">
        <v>41</v>
      </c>
      <c r="I611" t="s">
        <v>13</v>
      </c>
      <c r="J611">
        <v>22</v>
      </c>
    </row>
    <row r="612" spans="1:10" x14ac:dyDescent="0.25">
      <c r="A612" t="s">
        <v>634</v>
      </c>
      <c r="B612" t="s">
        <v>21</v>
      </c>
      <c r="C612" s="1">
        <v>45456</v>
      </c>
      <c r="D612">
        <v>107997</v>
      </c>
      <c r="E612">
        <v>667</v>
      </c>
      <c r="F612">
        <v>0.63</v>
      </c>
      <c r="G612">
        <v>0</v>
      </c>
      <c r="H612" t="s">
        <v>19</v>
      </c>
      <c r="I612" t="s">
        <v>13</v>
      </c>
      <c r="J612">
        <v>26</v>
      </c>
    </row>
    <row r="613" spans="1:10" x14ac:dyDescent="0.25">
      <c r="A613" t="s">
        <v>635</v>
      </c>
      <c r="B613" t="s">
        <v>43</v>
      </c>
      <c r="C613" s="1">
        <v>45688</v>
      </c>
      <c r="D613">
        <v>130947</v>
      </c>
      <c r="E613">
        <v>696</v>
      </c>
      <c r="F613">
        <v>0.25</v>
      </c>
      <c r="G613">
        <v>2</v>
      </c>
      <c r="H613" t="s">
        <v>19</v>
      </c>
      <c r="I613" t="s">
        <v>23</v>
      </c>
      <c r="J613">
        <v>19</v>
      </c>
    </row>
    <row r="614" spans="1:10" x14ac:dyDescent="0.25">
      <c r="A614" t="s">
        <v>636</v>
      </c>
      <c r="B614" t="s">
        <v>21</v>
      </c>
      <c r="C614" s="1">
        <v>45977</v>
      </c>
      <c r="D614">
        <v>149865</v>
      </c>
      <c r="E614">
        <v>809</v>
      </c>
      <c r="F614">
        <v>0.31</v>
      </c>
      <c r="G614">
        <v>1</v>
      </c>
      <c r="H614" t="s">
        <v>22</v>
      </c>
      <c r="I614" t="s">
        <v>23</v>
      </c>
      <c r="J614">
        <v>9</v>
      </c>
    </row>
    <row r="615" spans="1:10" x14ac:dyDescent="0.25">
      <c r="A615" t="s">
        <v>637</v>
      </c>
      <c r="B615" t="s">
        <v>43</v>
      </c>
      <c r="C615" s="1">
        <v>45522</v>
      </c>
      <c r="D615">
        <v>91024</v>
      </c>
      <c r="E615">
        <v>757</v>
      </c>
      <c r="F615">
        <v>0.37</v>
      </c>
      <c r="G615">
        <v>0</v>
      </c>
      <c r="H615" t="s">
        <v>16</v>
      </c>
      <c r="I615" t="s">
        <v>13</v>
      </c>
      <c r="J615">
        <v>24</v>
      </c>
    </row>
    <row r="616" spans="1:10" x14ac:dyDescent="0.25">
      <c r="A616" t="s">
        <v>638</v>
      </c>
      <c r="B616" t="s">
        <v>15</v>
      </c>
      <c r="C616" s="1">
        <v>45965</v>
      </c>
      <c r="D616">
        <v>21810</v>
      </c>
      <c r="E616">
        <v>522</v>
      </c>
      <c r="F616">
        <v>0.34</v>
      </c>
      <c r="G616">
        <v>0</v>
      </c>
      <c r="H616" t="s">
        <v>27</v>
      </c>
      <c r="I616" t="s">
        <v>13</v>
      </c>
      <c r="J616">
        <v>10</v>
      </c>
    </row>
    <row r="617" spans="1:10" x14ac:dyDescent="0.25">
      <c r="A617" t="s">
        <v>639</v>
      </c>
      <c r="B617" t="s">
        <v>21</v>
      </c>
      <c r="C617" s="1">
        <v>45797</v>
      </c>
      <c r="D617">
        <v>103311</v>
      </c>
      <c r="E617">
        <v>458</v>
      </c>
      <c r="F617">
        <v>0.48</v>
      </c>
      <c r="G617">
        <v>4</v>
      </c>
      <c r="H617" t="s">
        <v>12</v>
      </c>
      <c r="I617" t="s">
        <v>89</v>
      </c>
      <c r="J617">
        <v>15</v>
      </c>
    </row>
    <row r="618" spans="1:10" x14ac:dyDescent="0.25">
      <c r="A618" t="s">
        <v>640</v>
      </c>
      <c r="B618" t="s">
        <v>11</v>
      </c>
      <c r="C618" s="1">
        <v>45806</v>
      </c>
      <c r="D618">
        <v>22981</v>
      </c>
      <c r="E618">
        <v>505</v>
      </c>
      <c r="F618">
        <v>0.38</v>
      </c>
      <c r="G618">
        <v>0</v>
      </c>
      <c r="H618" t="s">
        <v>12</v>
      </c>
      <c r="I618" t="s">
        <v>13</v>
      </c>
      <c r="J618">
        <v>15</v>
      </c>
    </row>
    <row r="619" spans="1:10" x14ac:dyDescent="0.25">
      <c r="A619" t="s">
        <v>641</v>
      </c>
      <c r="B619" t="s">
        <v>15</v>
      </c>
      <c r="C619" s="1">
        <v>45880</v>
      </c>
      <c r="D619">
        <v>110508</v>
      </c>
      <c r="E619">
        <v>740</v>
      </c>
      <c r="F619">
        <v>0.46</v>
      </c>
      <c r="G619">
        <v>0</v>
      </c>
      <c r="H619" t="s">
        <v>12</v>
      </c>
      <c r="I619" t="s">
        <v>13</v>
      </c>
      <c r="J619">
        <v>12</v>
      </c>
    </row>
    <row r="620" spans="1:10" x14ac:dyDescent="0.25">
      <c r="A620" t="s">
        <v>642</v>
      </c>
      <c r="B620" t="s">
        <v>21</v>
      </c>
      <c r="C620" s="1">
        <v>45695</v>
      </c>
      <c r="D620">
        <v>74158</v>
      </c>
      <c r="E620">
        <v>675</v>
      </c>
      <c r="F620">
        <v>0.23</v>
      </c>
      <c r="G620">
        <v>0</v>
      </c>
      <c r="H620" t="s">
        <v>22</v>
      </c>
      <c r="I620" t="s">
        <v>13</v>
      </c>
      <c r="J620">
        <v>19</v>
      </c>
    </row>
    <row r="621" spans="1:10" x14ac:dyDescent="0.25">
      <c r="A621" t="s">
        <v>643</v>
      </c>
      <c r="B621" t="s">
        <v>11</v>
      </c>
      <c r="C621" s="1">
        <v>45427</v>
      </c>
      <c r="D621">
        <v>85762</v>
      </c>
      <c r="E621">
        <v>506</v>
      </c>
      <c r="F621">
        <v>0.15</v>
      </c>
      <c r="G621">
        <v>0</v>
      </c>
      <c r="H621" t="s">
        <v>12</v>
      </c>
      <c r="I621" t="s">
        <v>23</v>
      </c>
      <c r="J621">
        <v>27</v>
      </c>
    </row>
    <row r="622" spans="1:10" x14ac:dyDescent="0.25">
      <c r="A622" t="s">
        <v>644</v>
      </c>
      <c r="B622" t="s">
        <v>21</v>
      </c>
      <c r="C622" s="1">
        <v>45739</v>
      </c>
      <c r="D622">
        <v>58518</v>
      </c>
      <c r="E622">
        <v>671</v>
      </c>
      <c r="F622">
        <v>0.28999999999999998</v>
      </c>
      <c r="G622">
        <v>4</v>
      </c>
      <c r="H622" t="s">
        <v>19</v>
      </c>
      <c r="I622" t="s">
        <v>23</v>
      </c>
      <c r="J622">
        <v>17</v>
      </c>
    </row>
    <row r="623" spans="1:10" x14ac:dyDescent="0.25">
      <c r="A623" t="s">
        <v>645</v>
      </c>
      <c r="B623" t="s">
        <v>21</v>
      </c>
      <c r="C623" s="1">
        <v>45671</v>
      </c>
      <c r="D623">
        <v>133737</v>
      </c>
      <c r="E623">
        <v>839</v>
      </c>
      <c r="F623">
        <v>0.16</v>
      </c>
      <c r="G623">
        <v>3</v>
      </c>
      <c r="H623" t="s">
        <v>41</v>
      </c>
      <c r="I623" t="s">
        <v>23</v>
      </c>
      <c r="J623">
        <v>19</v>
      </c>
    </row>
    <row r="624" spans="1:10" x14ac:dyDescent="0.25">
      <c r="A624" t="s">
        <v>646</v>
      </c>
      <c r="B624" t="s">
        <v>15</v>
      </c>
      <c r="C624" s="1">
        <v>45650</v>
      </c>
      <c r="D624">
        <v>130204</v>
      </c>
      <c r="E624">
        <v>603</v>
      </c>
      <c r="F624">
        <v>0.41</v>
      </c>
      <c r="G624">
        <v>5</v>
      </c>
      <c r="H624" t="s">
        <v>41</v>
      </c>
      <c r="I624" t="s">
        <v>23</v>
      </c>
      <c r="J624">
        <v>20</v>
      </c>
    </row>
    <row r="625" spans="1:10" x14ac:dyDescent="0.25">
      <c r="A625" t="s">
        <v>647</v>
      </c>
      <c r="B625" t="s">
        <v>15</v>
      </c>
      <c r="C625" s="1">
        <v>45710</v>
      </c>
      <c r="D625">
        <v>110101</v>
      </c>
      <c r="E625">
        <v>618</v>
      </c>
      <c r="F625">
        <v>0.46</v>
      </c>
      <c r="G625">
        <v>0</v>
      </c>
      <c r="H625" t="s">
        <v>12</v>
      </c>
      <c r="I625" t="s">
        <v>13</v>
      </c>
      <c r="J625">
        <v>18</v>
      </c>
    </row>
    <row r="626" spans="1:10" x14ac:dyDescent="0.25">
      <c r="A626" t="s">
        <v>648</v>
      </c>
      <c r="B626" t="s">
        <v>21</v>
      </c>
      <c r="C626" s="1">
        <v>45556</v>
      </c>
      <c r="D626">
        <v>96452</v>
      </c>
      <c r="E626">
        <v>655</v>
      </c>
      <c r="F626">
        <v>0.51</v>
      </c>
      <c r="G626">
        <v>0</v>
      </c>
      <c r="H626" t="s">
        <v>12</v>
      </c>
      <c r="I626" t="s">
        <v>13</v>
      </c>
      <c r="J626">
        <v>23</v>
      </c>
    </row>
    <row r="627" spans="1:10" x14ac:dyDescent="0.25">
      <c r="A627" t="s">
        <v>649</v>
      </c>
      <c r="B627" t="s">
        <v>15</v>
      </c>
      <c r="C627" s="1">
        <v>45789</v>
      </c>
      <c r="D627">
        <v>16558</v>
      </c>
      <c r="E627">
        <v>586</v>
      </c>
      <c r="F627">
        <v>0.3</v>
      </c>
      <c r="G627">
        <v>4</v>
      </c>
      <c r="H627" t="s">
        <v>12</v>
      </c>
      <c r="I627" t="s">
        <v>23</v>
      </c>
      <c r="J627">
        <v>15</v>
      </c>
    </row>
    <row r="628" spans="1:10" x14ac:dyDescent="0.25">
      <c r="A628" t="s">
        <v>650</v>
      </c>
      <c r="B628" t="s">
        <v>11</v>
      </c>
      <c r="C628" s="1">
        <v>45824</v>
      </c>
      <c r="D628">
        <v>76295</v>
      </c>
      <c r="E628">
        <v>846</v>
      </c>
      <c r="F628">
        <v>0.62</v>
      </c>
      <c r="G628">
        <v>0</v>
      </c>
      <c r="H628" t="s">
        <v>19</v>
      </c>
      <c r="I628" t="s">
        <v>13</v>
      </c>
      <c r="J628">
        <v>14</v>
      </c>
    </row>
    <row r="629" spans="1:10" x14ac:dyDescent="0.25">
      <c r="A629" t="s">
        <v>651</v>
      </c>
      <c r="B629" t="s">
        <v>43</v>
      </c>
      <c r="C629" s="1">
        <v>45670</v>
      </c>
      <c r="D629">
        <v>111402</v>
      </c>
      <c r="E629">
        <v>744</v>
      </c>
      <c r="F629">
        <v>0.34</v>
      </c>
      <c r="G629">
        <v>0</v>
      </c>
      <c r="H629" t="s">
        <v>12</v>
      </c>
      <c r="I629" t="s">
        <v>13</v>
      </c>
      <c r="J629">
        <v>19</v>
      </c>
    </row>
    <row r="630" spans="1:10" x14ac:dyDescent="0.25">
      <c r="A630" t="s">
        <v>652</v>
      </c>
      <c r="B630" t="s">
        <v>15</v>
      </c>
      <c r="C630" s="1">
        <v>45554</v>
      </c>
      <c r="D630">
        <v>145511</v>
      </c>
      <c r="E630">
        <v>636</v>
      </c>
      <c r="F630">
        <v>0.44</v>
      </c>
      <c r="G630">
        <v>5</v>
      </c>
      <c r="H630" t="s">
        <v>12</v>
      </c>
      <c r="I630" t="s">
        <v>17</v>
      </c>
      <c r="J630">
        <v>23</v>
      </c>
    </row>
    <row r="631" spans="1:10" x14ac:dyDescent="0.25">
      <c r="A631" t="s">
        <v>653</v>
      </c>
      <c r="B631" t="s">
        <v>11</v>
      </c>
      <c r="C631" s="1">
        <v>45551</v>
      </c>
      <c r="D631">
        <v>94475</v>
      </c>
      <c r="E631">
        <v>489</v>
      </c>
      <c r="F631">
        <v>0.27</v>
      </c>
      <c r="G631">
        <v>4</v>
      </c>
      <c r="H631" t="s">
        <v>19</v>
      </c>
      <c r="I631" t="s">
        <v>23</v>
      </c>
      <c r="J631">
        <v>23</v>
      </c>
    </row>
    <row r="632" spans="1:10" x14ac:dyDescent="0.25">
      <c r="A632" t="s">
        <v>654</v>
      </c>
      <c r="B632" t="s">
        <v>15</v>
      </c>
      <c r="C632" s="1">
        <v>45689</v>
      </c>
      <c r="D632">
        <v>27990</v>
      </c>
      <c r="E632">
        <v>745</v>
      </c>
      <c r="F632">
        <v>0.61</v>
      </c>
      <c r="G632">
        <v>0</v>
      </c>
      <c r="H632" t="s">
        <v>41</v>
      </c>
      <c r="I632" t="s">
        <v>13</v>
      </c>
      <c r="J632">
        <v>19</v>
      </c>
    </row>
    <row r="633" spans="1:10" x14ac:dyDescent="0.25">
      <c r="A633" t="s">
        <v>655</v>
      </c>
      <c r="B633" t="s">
        <v>11</v>
      </c>
      <c r="C633" s="1">
        <v>45908</v>
      </c>
      <c r="D633">
        <v>128008</v>
      </c>
      <c r="E633">
        <v>513</v>
      </c>
      <c r="F633">
        <v>0.47</v>
      </c>
      <c r="G633">
        <v>0</v>
      </c>
      <c r="H633" t="s">
        <v>12</v>
      </c>
      <c r="I633" t="s">
        <v>13</v>
      </c>
      <c r="J633">
        <v>12</v>
      </c>
    </row>
    <row r="634" spans="1:10" x14ac:dyDescent="0.25">
      <c r="A634" t="s">
        <v>656</v>
      </c>
      <c r="B634" t="s">
        <v>15</v>
      </c>
      <c r="C634" s="1">
        <v>45647</v>
      </c>
      <c r="D634">
        <v>7908</v>
      </c>
      <c r="E634">
        <v>768</v>
      </c>
      <c r="F634">
        <v>0.25</v>
      </c>
      <c r="G634">
        <v>0</v>
      </c>
      <c r="H634" t="s">
        <v>22</v>
      </c>
      <c r="I634" t="s">
        <v>13</v>
      </c>
      <c r="J634">
        <v>20</v>
      </c>
    </row>
    <row r="635" spans="1:10" x14ac:dyDescent="0.25">
      <c r="A635" t="s">
        <v>657</v>
      </c>
      <c r="B635" t="s">
        <v>15</v>
      </c>
      <c r="C635" s="1">
        <v>45839</v>
      </c>
      <c r="D635">
        <v>48579</v>
      </c>
      <c r="E635">
        <v>815</v>
      </c>
      <c r="F635">
        <v>0.45</v>
      </c>
      <c r="G635">
        <v>0</v>
      </c>
      <c r="H635" t="s">
        <v>19</v>
      </c>
      <c r="I635" t="s">
        <v>13</v>
      </c>
      <c r="J635">
        <v>14</v>
      </c>
    </row>
    <row r="636" spans="1:10" x14ac:dyDescent="0.25">
      <c r="A636" t="s">
        <v>658</v>
      </c>
      <c r="B636" t="s">
        <v>21</v>
      </c>
      <c r="C636" s="1">
        <v>45859</v>
      </c>
      <c r="D636">
        <v>117841</v>
      </c>
      <c r="E636">
        <v>722</v>
      </c>
      <c r="F636">
        <v>0.59</v>
      </c>
      <c r="G636">
        <v>0</v>
      </c>
      <c r="H636" t="s">
        <v>19</v>
      </c>
      <c r="I636" t="s">
        <v>13</v>
      </c>
      <c r="J636">
        <v>13</v>
      </c>
    </row>
    <row r="637" spans="1:10" x14ac:dyDescent="0.25">
      <c r="A637" t="s">
        <v>659</v>
      </c>
      <c r="B637" t="s">
        <v>21</v>
      </c>
      <c r="C637" s="1">
        <v>45828</v>
      </c>
      <c r="D637">
        <v>109897</v>
      </c>
      <c r="E637">
        <v>770</v>
      </c>
      <c r="F637">
        <v>0.39</v>
      </c>
      <c r="G637">
        <v>0</v>
      </c>
      <c r="H637" t="s">
        <v>19</v>
      </c>
      <c r="I637" t="s">
        <v>13</v>
      </c>
      <c r="J637">
        <v>14</v>
      </c>
    </row>
    <row r="638" spans="1:10" x14ac:dyDescent="0.25">
      <c r="A638" t="s">
        <v>660</v>
      </c>
      <c r="B638" t="s">
        <v>15</v>
      </c>
      <c r="C638" s="1">
        <v>45679</v>
      </c>
      <c r="D638">
        <v>14042</v>
      </c>
      <c r="E638">
        <v>762</v>
      </c>
      <c r="F638">
        <v>0.62</v>
      </c>
      <c r="G638">
        <v>0</v>
      </c>
      <c r="H638" t="s">
        <v>27</v>
      </c>
      <c r="I638" t="s">
        <v>13</v>
      </c>
      <c r="J638">
        <v>19</v>
      </c>
    </row>
    <row r="639" spans="1:10" x14ac:dyDescent="0.25">
      <c r="A639" t="s">
        <v>661</v>
      </c>
      <c r="B639" t="s">
        <v>15</v>
      </c>
      <c r="C639" s="1">
        <v>45590</v>
      </c>
      <c r="D639">
        <v>137018</v>
      </c>
      <c r="E639">
        <v>458</v>
      </c>
      <c r="F639">
        <v>0.49</v>
      </c>
      <c r="G639">
        <v>2</v>
      </c>
      <c r="H639" t="s">
        <v>12</v>
      </c>
      <c r="I639" t="s">
        <v>23</v>
      </c>
      <c r="J639">
        <v>22</v>
      </c>
    </row>
    <row r="640" spans="1:10" x14ac:dyDescent="0.25">
      <c r="A640" t="s">
        <v>662</v>
      </c>
      <c r="B640" t="s">
        <v>21</v>
      </c>
      <c r="C640" s="1">
        <v>45329</v>
      </c>
      <c r="D640">
        <v>52479</v>
      </c>
      <c r="E640">
        <v>456</v>
      </c>
      <c r="F640">
        <v>0.36</v>
      </c>
      <c r="G640">
        <v>0</v>
      </c>
      <c r="H640" t="s">
        <v>22</v>
      </c>
      <c r="I640" t="s">
        <v>17</v>
      </c>
      <c r="J640">
        <v>31</v>
      </c>
    </row>
    <row r="641" spans="1:10" x14ac:dyDescent="0.25">
      <c r="A641" t="s">
        <v>663</v>
      </c>
      <c r="B641" t="s">
        <v>15</v>
      </c>
      <c r="C641" s="1">
        <v>45908</v>
      </c>
      <c r="D641">
        <v>97198</v>
      </c>
      <c r="E641">
        <v>675</v>
      </c>
      <c r="F641">
        <v>0.62</v>
      </c>
      <c r="G641">
        <v>5</v>
      </c>
      <c r="H641" t="s">
        <v>41</v>
      </c>
      <c r="I641" t="s">
        <v>23</v>
      </c>
      <c r="J641">
        <v>12</v>
      </c>
    </row>
    <row r="642" spans="1:10" x14ac:dyDescent="0.25">
      <c r="A642" t="s">
        <v>664</v>
      </c>
      <c r="B642" t="s">
        <v>15</v>
      </c>
      <c r="C642" s="1">
        <v>45845</v>
      </c>
      <c r="D642">
        <v>45898</v>
      </c>
      <c r="E642">
        <v>824</v>
      </c>
      <c r="F642">
        <v>0.27</v>
      </c>
      <c r="G642">
        <v>0</v>
      </c>
      <c r="H642" t="s">
        <v>22</v>
      </c>
      <c r="I642" t="s">
        <v>13</v>
      </c>
      <c r="J642">
        <v>14</v>
      </c>
    </row>
    <row r="643" spans="1:10" x14ac:dyDescent="0.25">
      <c r="A643" t="s">
        <v>665</v>
      </c>
      <c r="B643" t="s">
        <v>21</v>
      </c>
      <c r="C643" s="1">
        <v>45964</v>
      </c>
      <c r="D643">
        <v>97512</v>
      </c>
      <c r="E643">
        <v>644</v>
      </c>
      <c r="F643">
        <v>0.31</v>
      </c>
      <c r="G643">
        <v>5</v>
      </c>
      <c r="H643" t="s">
        <v>16</v>
      </c>
      <c r="I643" t="s">
        <v>17</v>
      </c>
      <c r="J643">
        <v>10</v>
      </c>
    </row>
    <row r="644" spans="1:10" x14ac:dyDescent="0.25">
      <c r="A644" t="s">
        <v>666</v>
      </c>
      <c r="B644" t="s">
        <v>43</v>
      </c>
      <c r="C644" s="1">
        <v>45865</v>
      </c>
      <c r="D644">
        <v>10574</v>
      </c>
      <c r="E644">
        <v>839</v>
      </c>
      <c r="F644">
        <v>0.48</v>
      </c>
      <c r="G644">
        <v>0</v>
      </c>
      <c r="H644" t="s">
        <v>12</v>
      </c>
      <c r="I644" t="s">
        <v>13</v>
      </c>
      <c r="J644">
        <v>13</v>
      </c>
    </row>
    <row r="645" spans="1:10" x14ac:dyDescent="0.25">
      <c r="A645" t="s">
        <v>667</v>
      </c>
      <c r="B645" t="s">
        <v>21</v>
      </c>
      <c r="C645" s="1">
        <v>45386</v>
      </c>
      <c r="D645">
        <v>84366</v>
      </c>
      <c r="E645">
        <v>834</v>
      </c>
      <c r="F645">
        <v>0.49</v>
      </c>
      <c r="G645">
        <v>4</v>
      </c>
      <c r="H645" t="s">
        <v>22</v>
      </c>
      <c r="I645" t="s">
        <v>23</v>
      </c>
      <c r="J645">
        <v>29</v>
      </c>
    </row>
    <row r="646" spans="1:10" x14ac:dyDescent="0.25">
      <c r="A646" t="s">
        <v>668</v>
      </c>
      <c r="B646" t="s">
        <v>21</v>
      </c>
      <c r="C646" s="1">
        <v>45786</v>
      </c>
      <c r="D646">
        <v>67739</v>
      </c>
      <c r="E646">
        <v>757</v>
      </c>
      <c r="F646">
        <v>0.27</v>
      </c>
      <c r="G646">
        <v>1</v>
      </c>
      <c r="H646" t="s">
        <v>41</v>
      </c>
      <c r="I646" t="s">
        <v>17</v>
      </c>
      <c r="J646">
        <v>16</v>
      </c>
    </row>
    <row r="647" spans="1:10" x14ac:dyDescent="0.25">
      <c r="A647" t="s">
        <v>669</v>
      </c>
      <c r="B647" t="s">
        <v>21</v>
      </c>
      <c r="C647" s="1">
        <v>45536</v>
      </c>
      <c r="D647">
        <v>23161</v>
      </c>
      <c r="E647">
        <v>495</v>
      </c>
      <c r="F647">
        <v>0.41</v>
      </c>
      <c r="G647">
        <v>0</v>
      </c>
      <c r="H647" t="s">
        <v>22</v>
      </c>
      <c r="I647" t="s">
        <v>13</v>
      </c>
      <c r="J647">
        <v>24</v>
      </c>
    </row>
    <row r="648" spans="1:10" x14ac:dyDescent="0.25">
      <c r="A648" t="s">
        <v>670</v>
      </c>
      <c r="B648" t="s">
        <v>15</v>
      </c>
      <c r="C648" s="1">
        <v>45921</v>
      </c>
      <c r="D648">
        <v>25923</v>
      </c>
      <c r="E648">
        <v>676</v>
      </c>
      <c r="F648">
        <v>0.39</v>
      </c>
      <c r="G648">
        <v>0</v>
      </c>
      <c r="H648" t="s">
        <v>19</v>
      </c>
      <c r="I648" t="s">
        <v>13</v>
      </c>
      <c r="J648">
        <v>11</v>
      </c>
    </row>
    <row r="649" spans="1:10" x14ac:dyDescent="0.25">
      <c r="A649" t="s">
        <v>671</v>
      </c>
      <c r="B649" t="s">
        <v>43</v>
      </c>
      <c r="C649" s="1">
        <v>45585</v>
      </c>
      <c r="D649">
        <v>114952</v>
      </c>
      <c r="E649">
        <v>589</v>
      </c>
      <c r="F649">
        <v>0.41</v>
      </c>
      <c r="G649">
        <v>0</v>
      </c>
      <c r="H649" t="s">
        <v>12</v>
      </c>
      <c r="I649" t="s">
        <v>13</v>
      </c>
      <c r="J649">
        <v>22</v>
      </c>
    </row>
    <row r="650" spans="1:10" x14ac:dyDescent="0.25">
      <c r="A650" t="s">
        <v>672</v>
      </c>
      <c r="B650" t="s">
        <v>21</v>
      </c>
      <c r="C650" s="1">
        <v>45336</v>
      </c>
      <c r="D650">
        <v>39998</v>
      </c>
      <c r="E650">
        <v>753</v>
      </c>
      <c r="F650">
        <v>0.62</v>
      </c>
      <c r="G650">
        <v>4</v>
      </c>
      <c r="H650" t="s">
        <v>41</v>
      </c>
      <c r="I650" t="s">
        <v>23</v>
      </c>
      <c r="J650">
        <v>30</v>
      </c>
    </row>
    <row r="651" spans="1:10" x14ac:dyDescent="0.25">
      <c r="A651" t="s">
        <v>673</v>
      </c>
      <c r="B651" t="s">
        <v>21</v>
      </c>
      <c r="C651" s="1">
        <v>45817</v>
      </c>
      <c r="D651">
        <v>5125</v>
      </c>
      <c r="E651">
        <v>820</v>
      </c>
      <c r="F651">
        <v>0.48</v>
      </c>
      <c r="G651">
        <v>4</v>
      </c>
      <c r="H651" t="s">
        <v>12</v>
      </c>
      <c r="I651" t="s">
        <v>17</v>
      </c>
      <c r="J651">
        <v>15</v>
      </c>
    </row>
    <row r="652" spans="1:10" x14ac:dyDescent="0.25">
      <c r="A652" t="s">
        <v>674</v>
      </c>
      <c r="B652" t="s">
        <v>43</v>
      </c>
      <c r="C652" s="1">
        <v>45314</v>
      </c>
      <c r="D652">
        <v>104279</v>
      </c>
      <c r="E652">
        <v>473</v>
      </c>
      <c r="F652">
        <v>0.32</v>
      </c>
      <c r="G652">
        <v>1</v>
      </c>
      <c r="H652" t="s">
        <v>22</v>
      </c>
      <c r="I652" t="s">
        <v>17</v>
      </c>
      <c r="J652">
        <v>31</v>
      </c>
    </row>
    <row r="653" spans="1:10" x14ac:dyDescent="0.25">
      <c r="A653" t="s">
        <v>675</v>
      </c>
      <c r="B653" t="s">
        <v>43</v>
      </c>
      <c r="C653" s="1">
        <v>45933</v>
      </c>
      <c r="D653">
        <v>17143</v>
      </c>
      <c r="E653">
        <v>689</v>
      </c>
      <c r="F653">
        <v>0.28000000000000003</v>
      </c>
      <c r="G653">
        <v>0</v>
      </c>
      <c r="H653" t="s">
        <v>19</v>
      </c>
      <c r="I653" t="s">
        <v>13</v>
      </c>
      <c r="J653">
        <v>11</v>
      </c>
    </row>
    <row r="654" spans="1:10" x14ac:dyDescent="0.25">
      <c r="A654" t="s">
        <v>676</v>
      </c>
      <c r="B654" t="s">
        <v>15</v>
      </c>
      <c r="C654" s="1">
        <v>45573</v>
      </c>
      <c r="D654">
        <v>133642</v>
      </c>
      <c r="E654">
        <v>793</v>
      </c>
      <c r="F654">
        <v>0.35</v>
      </c>
      <c r="G654">
        <v>0</v>
      </c>
      <c r="H654" t="s">
        <v>16</v>
      </c>
      <c r="I654" t="s">
        <v>13</v>
      </c>
      <c r="J654">
        <v>23</v>
      </c>
    </row>
    <row r="655" spans="1:10" x14ac:dyDescent="0.25">
      <c r="A655" t="s">
        <v>677</v>
      </c>
      <c r="B655" t="s">
        <v>21</v>
      </c>
      <c r="C655" s="1">
        <v>45391</v>
      </c>
      <c r="D655">
        <v>55668</v>
      </c>
      <c r="E655">
        <v>796</v>
      </c>
      <c r="F655">
        <v>0.31</v>
      </c>
      <c r="G655">
        <v>0</v>
      </c>
      <c r="H655" t="s">
        <v>12</v>
      </c>
      <c r="I655" t="s">
        <v>13</v>
      </c>
      <c r="J655">
        <v>29</v>
      </c>
    </row>
    <row r="656" spans="1:10" x14ac:dyDescent="0.25">
      <c r="A656" t="s">
        <v>678</v>
      </c>
      <c r="B656" t="s">
        <v>21</v>
      </c>
      <c r="C656" s="1">
        <v>45908</v>
      </c>
      <c r="D656">
        <v>38152</v>
      </c>
      <c r="E656">
        <v>683</v>
      </c>
      <c r="F656">
        <v>0.56999999999999995</v>
      </c>
      <c r="G656">
        <v>1</v>
      </c>
      <c r="H656" t="s">
        <v>16</v>
      </c>
      <c r="I656" t="s">
        <v>17</v>
      </c>
      <c r="J656">
        <v>12</v>
      </c>
    </row>
    <row r="657" spans="1:10" x14ac:dyDescent="0.25">
      <c r="A657" t="s">
        <v>679</v>
      </c>
      <c r="B657" t="s">
        <v>21</v>
      </c>
      <c r="C657" s="1">
        <v>45793</v>
      </c>
      <c r="D657">
        <v>84941</v>
      </c>
      <c r="E657">
        <v>492</v>
      </c>
      <c r="F657">
        <v>0.15</v>
      </c>
      <c r="G657">
        <v>0</v>
      </c>
      <c r="H657" t="s">
        <v>12</v>
      </c>
      <c r="I657" t="s">
        <v>13</v>
      </c>
      <c r="J657">
        <v>15</v>
      </c>
    </row>
    <row r="658" spans="1:10" x14ac:dyDescent="0.25">
      <c r="A658" t="s">
        <v>680</v>
      </c>
      <c r="B658" t="s">
        <v>15</v>
      </c>
      <c r="C658" s="1">
        <v>45367</v>
      </c>
      <c r="D658">
        <v>73354</v>
      </c>
      <c r="E658">
        <v>775</v>
      </c>
      <c r="F658">
        <v>0.34</v>
      </c>
      <c r="G658">
        <v>0</v>
      </c>
      <c r="H658" t="s">
        <v>12</v>
      </c>
      <c r="I658" t="s">
        <v>13</v>
      </c>
      <c r="J658">
        <v>29</v>
      </c>
    </row>
    <row r="659" spans="1:10" x14ac:dyDescent="0.25">
      <c r="A659" t="s">
        <v>681</v>
      </c>
      <c r="B659" t="s">
        <v>21</v>
      </c>
      <c r="C659" s="1">
        <v>45732</v>
      </c>
      <c r="D659">
        <v>98807</v>
      </c>
      <c r="E659">
        <v>582</v>
      </c>
      <c r="F659">
        <v>0.17</v>
      </c>
      <c r="G659">
        <v>0</v>
      </c>
      <c r="H659" t="s">
        <v>12</v>
      </c>
      <c r="I659" t="s">
        <v>13</v>
      </c>
      <c r="J659">
        <v>17</v>
      </c>
    </row>
    <row r="660" spans="1:10" x14ac:dyDescent="0.25">
      <c r="A660" t="s">
        <v>682</v>
      </c>
      <c r="B660" t="s">
        <v>43</v>
      </c>
      <c r="C660" s="1">
        <v>45719</v>
      </c>
      <c r="D660">
        <v>97050</v>
      </c>
      <c r="E660">
        <v>586</v>
      </c>
      <c r="F660">
        <v>0.24</v>
      </c>
      <c r="G660">
        <v>0</v>
      </c>
      <c r="H660" t="s">
        <v>22</v>
      </c>
      <c r="I660" t="s">
        <v>17</v>
      </c>
      <c r="J660">
        <v>18</v>
      </c>
    </row>
    <row r="661" spans="1:10" x14ac:dyDescent="0.25">
      <c r="A661" t="s">
        <v>683</v>
      </c>
      <c r="B661" t="s">
        <v>15</v>
      </c>
      <c r="C661" s="1">
        <v>45961</v>
      </c>
      <c r="D661">
        <v>74989</v>
      </c>
      <c r="E661">
        <v>769</v>
      </c>
      <c r="F661">
        <v>0.3</v>
      </c>
      <c r="G661">
        <v>0</v>
      </c>
      <c r="H661" t="s">
        <v>19</v>
      </c>
      <c r="I661" t="s">
        <v>13</v>
      </c>
      <c r="J661">
        <v>10</v>
      </c>
    </row>
    <row r="662" spans="1:10" x14ac:dyDescent="0.25">
      <c r="A662" t="s">
        <v>684</v>
      </c>
      <c r="B662" t="s">
        <v>43</v>
      </c>
      <c r="C662" s="1">
        <v>45463</v>
      </c>
      <c r="D662">
        <v>77444</v>
      </c>
      <c r="E662">
        <v>611</v>
      </c>
      <c r="F662">
        <v>0.44</v>
      </c>
      <c r="G662">
        <v>0</v>
      </c>
      <c r="H662" t="s">
        <v>16</v>
      </c>
      <c r="I662" t="s">
        <v>13</v>
      </c>
      <c r="J662">
        <v>26</v>
      </c>
    </row>
    <row r="663" spans="1:10" x14ac:dyDescent="0.25">
      <c r="A663" t="s">
        <v>685</v>
      </c>
      <c r="B663" t="s">
        <v>43</v>
      </c>
      <c r="C663" s="1">
        <v>45293</v>
      </c>
      <c r="D663">
        <v>66036</v>
      </c>
      <c r="E663">
        <v>627</v>
      </c>
      <c r="F663">
        <v>0.62</v>
      </c>
      <c r="G663">
        <v>0</v>
      </c>
      <c r="H663" t="s">
        <v>12</v>
      </c>
      <c r="I663" t="s">
        <v>17</v>
      </c>
      <c r="J663">
        <v>32</v>
      </c>
    </row>
    <row r="664" spans="1:10" x14ac:dyDescent="0.25">
      <c r="A664" t="s">
        <v>686</v>
      </c>
      <c r="B664" t="s">
        <v>21</v>
      </c>
      <c r="C664" s="1">
        <v>45681</v>
      </c>
      <c r="D664">
        <v>11394</v>
      </c>
      <c r="E664">
        <v>562</v>
      </c>
      <c r="F664">
        <v>0.63</v>
      </c>
      <c r="G664">
        <v>3</v>
      </c>
      <c r="H664" t="s">
        <v>22</v>
      </c>
      <c r="I664" t="s">
        <v>23</v>
      </c>
      <c r="J664">
        <v>19</v>
      </c>
    </row>
    <row r="665" spans="1:10" x14ac:dyDescent="0.25">
      <c r="A665" t="s">
        <v>687</v>
      </c>
      <c r="B665" t="s">
        <v>43</v>
      </c>
      <c r="C665" s="1">
        <v>45507</v>
      </c>
      <c r="D665">
        <v>34016</v>
      </c>
      <c r="E665">
        <v>804</v>
      </c>
      <c r="F665">
        <v>0.26</v>
      </c>
      <c r="G665">
        <v>0</v>
      </c>
      <c r="H665" t="s">
        <v>12</v>
      </c>
      <c r="I665" t="s">
        <v>13</v>
      </c>
      <c r="J665">
        <v>25</v>
      </c>
    </row>
    <row r="666" spans="1:10" x14ac:dyDescent="0.25">
      <c r="A666" t="s">
        <v>688</v>
      </c>
      <c r="B666" t="s">
        <v>21</v>
      </c>
      <c r="C666" s="1">
        <v>45899</v>
      </c>
      <c r="D666">
        <v>126634</v>
      </c>
      <c r="E666">
        <v>716</v>
      </c>
      <c r="F666">
        <v>0.5</v>
      </c>
      <c r="G666">
        <v>0</v>
      </c>
      <c r="H666" t="s">
        <v>27</v>
      </c>
      <c r="I666" t="s">
        <v>13</v>
      </c>
      <c r="J666">
        <v>12</v>
      </c>
    </row>
    <row r="667" spans="1:10" x14ac:dyDescent="0.25">
      <c r="A667" t="s">
        <v>689</v>
      </c>
      <c r="B667" t="s">
        <v>11</v>
      </c>
      <c r="C667" s="1">
        <v>45335</v>
      </c>
      <c r="D667">
        <v>74698</v>
      </c>
      <c r="E667">
        <v>805</v>
      </c>
      <c r="F667">
        <v>0.23</v>
      </c>
      <c r="G667">
        <v>0</v>
      </c>
      <c r="H667" t="s">
        <v>41</v>
      </c>
      <c r="I667" t="s">
        <v>13</v>
      </c>
      <c r="J667">
        <v>30</v>
      </c>
    </row>
    <row r="668" spans="1:10" x14ac:dyDescent="0.25">
      <c r="A668" t="s">
        <v>690</v>
      </c>
      <c r="B668" t="s">
        <v>21</v>
      </c>
      <c r="C668" s="1">
        <v>45469</v>
      </c>
      <c r="D668">
        <v>147419</v>
      </c>
      <c r="E668">
        <v>692</v>
      </c>
      <c r="F668">
        <v>0.24</v>
      </c>
      <c r="G668">
        <v>0</v>
      </c>
      <c r="H668" t="s">
        <v>22</v>
      </c>
      <c r="I668" t="s">
        <v>13</v>
      </c>
      <c r="J668">
        <v>26</v>
      </c>
    </row>
    <row r="669" spans="1:10" x14ac:dyDescent="0.25">
      <c r="A669" t="s">
        <v>691</v>
      </c>
      <c r="B669" t="s">
        <v>21</v>
      </c>
      <c r="C669" s="1">
        <v>45306</v>
      </c>
      <c r="D669">
        <v>68318</v>
      </c>
      <c r="E669">
        <v>650</v>
      </c>
      <c r="F669">
        <v>0.48</v>
      </c>
      <c r="G669">
        <v>0</v>
      </c>
      <c r="H669" t="s">
        <v>27</v>
      </c>
      <c r="I669" t="s">
        <v>13</v>
      </c>
      <c r="J669">
        <v>31</v>
      </c>
    </row>
    <row r="670" spans="1:10" x14ac:dyDescent="0.25">
      <c r="A670" t="s">
        <v>692</v>
      </c>
      <c r="B670" t="s">
        <v>21</v>
      </c>
      <c r="C670" s="1">
        <v>45737</v>
      </c>
      <c r="D670">
        <v>109894</v>
      </c>
      <c r="E670">
        <v>516</v>
      </c>
      <c r="F670">
        <v>0.27</v>
      </c>
      <c r="G670">
        <v>4</v>
      </c>
      <c r="H670" t="s">
        <v>19</v>
      </c>
      <c r="I670" t="s">
        <v>23</v>
      </c>
      <c r="J670">
        <v>17</v>
      </c>
    </row>
    <row r="671" spans="1:10" x14ac:dyDescent="0.25">
      <c r="A671" t="s">
        <v>693</v>
      </c>
      <c r="B671" t="s">
        <v>15</v>
      </c>
      <c r="C671" s="1">
        <v>45940</v>
      </c>
      <c r="D671">
        <v>135999</v>
      </c>
      <c r="E671">
        <v>575</v>
      </c>
      <c r="F671">
        <v>0.53</v>
      </c>
      <c r="G671">
        <v>0</v>
      </c>
      <c r="H671" t="s">
        <v>16</v>
      </c>
      <c r="I671" t="s">
        <v>13</v>
      </c>
      <c r="J671">
        <v>10</v>
      </c>
    </row>
    <row r="672" spans="1:10" x14ac:dyDescent="0.25">
      <c r="A672" t="s">
        <v>694</v>
      </c>
      <c r="B672" t="s">
        <v>11</v>
      </c>
      <c r="C672" s="1">
        <v>45989</v>
      </c>
      <c r="D672">
        <v>111775</v>
      </c>
      <c r="E672">
        <v>549</v>
      </c>
      <c r="F672">
        <v>0.25</v>
      </c>
      <c r="G672">
        <v>2</v>
      </c>
      <c r="H672" t="s">
        <v>16</v>
      </c>
      <c r="I672" t="s">
        <v>23</v>
      </c>
      <c r="J672">
        <v>9</v>
      </c>
    </row>
    <row r="673" spans="1:10" x14ac:dyDescent="0.25">
      <c r="A673" t="s">
        <v>695</v>
      </c>
      <c r="B673" t="s">
        <v>21</v>
      </c>
      <c r="C673" s="1">
        <v>45309</v>
      </c>
      <c r="D673">
        <v>105829</v>
      </c>
      <c r="E673">
        <v>848</v>
      </c>
      <c r="F673">
        <v>0.56000000000000005</v>
      </c>
      <c r="G673">
        <v>0</v>
      </c>
      <c r="H673" t="s">
        <v>19</v>
      </c>
      <c r="I673" t="s">
        <v>17</v>
      </c>
      <c r="J673">
        <v>31</v>
      </c>
    </row>
    <row r="674" spans="1:10" x14ac:dyDescent="0.25">
      <c r="A674" t="s">
        <v>696</v>
      </c>
      <c r="B674" t="s">
        <v>21</v>
      </c>
      <c r="C674" s="1">
        <v>45302</v>
      </c>
      <c r="D674">
        <v>145938</v>
      </c>
      <c r="E674">
        <v>-1</v>
      </c>
      <c r="F674">
        <v>0.19</v>
      </c>
      <c r="G674">
        <v>0</v>
      </c>
      <c r="H674" t="s">
        <v>41</v>
      </c>
      <c r="I674" t="s">
        <v>17</v>
      </c>
      <c r="J674">
        <v>31</v>
      </c>
    </row>
    <row r="675" spans="1:10" x14ac:dyDescent="0.25">
      <c r="A675" t="s">
        <v>697</v>
      </c>
      <c r="B675" t="s">
        <v>43</v>
      </c>
      <c r="C675" s="1">
        <v>45772</v>
      </c>
      <c r="D675">
        <v>81643</v>
      </c>
      <c r="E675">
        <v>452</v>
      </c>
      <c r="F675">
        <v>0.46</v>
      </c>
      <c r="G675">
        <v>6</v>
      </c>
      <c r="H675" t="s">
        <v>19</v>
      </c>
      <c r="I675" t="s">
        <v>89</v>
      </c>
      <c r="J675">
        <v>16</v>
      </c>
    </row>
    <row r="676" spans="1:10" x14ac:dyDescent="0.25">
      <c r="A676" t="s">
        <v>698</v>
      </c>
      <c r="B676" t="s">
        <v>21</v>
      </c>
      <c r="C676" s="1">
        <v>45672</v>
      </c>
      <c r="D676">
        <v>97894</v>
      </c>
      <c r="E676">
        <v>675</v>
      </c>
      <c r="F676">
        <v>0.27</v>
      </c>
      <c r="G676">
        <v>0</v>
      </c>
      <c r="H676" t="s">
        <v>19</v>
      </c>
      <c r="I676" t="s">
        <v>13</v>
      </c>
      <c r="J676">
        <v>19</v>
      </c>
    </row>
    <row r="677" spans="1:10" x14ac:dyDescent="0.25">
      <c r="A677" t="s">
        <v>699</v>
      </c>
      <c r="B677" t="s">
        <v>11</v>
      </c>
      <c r="C677" s="1">
        <v>45926</v>
      </c>
      <c r="D677">
        <v>131661</v>
      </c>
      <c r="E677">
        <v>548</v>
      </c>
      <c r="F677">
        <v>0.21</v>
      </c>
      <c r="G677">
        <v>5</v>
      </c>
      <c r="H677" t="s">
        <v>16</v>
      </c>
      <c r="I677" t="s">
        <v>17</v>
      </c>
      <c r="J677">
        <v>11</v>
      </c>
    </row>
    <row r="678" spans="1:10" x14ac:dyDescent="0.25">
      <c r="A678" t="s">
        <v>700</v>
      </c>
      <c r="B678" t="s">
        <v>43</v>
      </c>
      <c r="C678" s="1">
        <v>45545</v>
      </c>
      <c r="D678">
        <v>101476</v>
      </c>
      <c r="E678">
        <v>850</v>
      </c>
      <c r="F678">
        <v>0.5</v>
      </c>
      <c r="G678">
        <v>0</v>
      </c>
      <c r="H678" t="s">
        <v>12</v>
      </c>
      <c r="I678" t="s">
        <v>13</v>
      </c>
      <c r="J678">
        <v>23</v>
      </c>
    </row>
    <row r="679" spans="1:10" x14ac:dyDescent="0.25">
      <c r="A679" t="s">
        <v>701</v>
      </c>
      <c r="B679" t="s">
        <v>15</v>
      </c>
      <c r="C679" s="1">
        <v>45958</v>
      </c>
      <c r="D679">
        <v>44959</v>
      </c>
      <c r="E679">
        <v>538</v>
      </c>
      <c r="F679">
        <v>0.32</v>
      </c>
      <c r="G679">
        <v>5</v>
      </c>
      <c r="H679" t="s">
        <v>27</v>
      </c>
      <c r="I679" t="s">
        <v>17</v>
      </c>
      <c r="J679">
        <v>10</v>
      </c>
    </row>
    <row r="680" spans="1:10" x14ac:dyDescent="0.25">
      <c r="A680" t="s">
        <v>702</v>
      </c>
      <c r="B680" t="s">
        <v>21</v>
      </c>
      <c r="C680" s="1">
        <v>45566</v>
      </c>
      <c r="D680">
        <v>24433</v>
      </c>
      <c r="E680">
        <v>616</v>
      </c>
      <c r="F680">
        <v>0.46</v>
      </c>
      <c r="G680">
        <v>0</v>
      </c>
      <c r="H680" t="s">
        <v>22</v>
      </c>
      <c r="I680" t="s">
        <v>13</v>
      </c>
      <c r="J680">
        <v>23</v>
      </c>
    </row>
    <row r="681" spans="1:10" x14ac:dyDescent="0.25">
      <c r="A681" t="s">
        <v>703</v>
      </c>
      <c r="B681" t="s">
        <v>21</v>
      </c>
      <c r="C681" s="1">
        <v>45427</v>
      </c>
      <c r="D681">
        <v>131276</v>
      </c>
      <c r="E681">
        <v>766</v>
      </c>
      <c r="F681">
        <v>0.19</v>
      </c>
      <c r="G681">
        <v>0</v>
      </c>
      <c r="H681" t="s">
        <v>19</v>
      </c>
      <c r="I681" t="s">
        <v>13</v>
      </c>
      <c r="J681">
        <v>27</v>
      </c>
    </row>
    <row r="682" spans="1:10" x14ac:dyDescent="0.25">
      <c r="A682" t="s">
        <v>704</v>
      </c>
      <c r="B682" t="s">
        <v>21</v>
      </c>
      <c r="C682" s="1">
        <v>45904</v>
      </c>
      <c r="D682">
        <v>109701</v>
      </c>
      <c r="E682">
        <v>625</v>
      </c>
      <c r="F682">
        <v>0.2</v>
      </c>
      <c r="G682">
        <v>1</v>
      </c>
      <c r="H682" t="s">
        <v>12</v>
      </c>
      <c r="I682" t="s">
        <v>17</v>
      </c>
      <c r="J682">
        <v>12</v>
      </c>
    </row>
    <row r="683" spans="1:10" x14ac:dyDescent="0.25">
      <c r="A683" t="s">
        <v>705</v>
      </c>
      <c r="B683" t="s">
        <v>11</v>
      </c>
      <c r="C683" s="1">
        <v>45795</v>
      </c>
      <c r="D683">
        <v>105399</v>
      </c>
      <c r="E683">
        <v>474</v>
      </c>
      <c r="F683">
        <v>0.22</v>
      </c>
      <c r="G683">
        <v>0</v>
      </c>
      <c r="H683" t="s">
        <v>41</v>
      </c>
      <c r="I683" t="s">
        <v>13</v>
      </c>
      <c r="J683">
        <v>15</v>
      </c>
    </row>
    <row r="684" spans="1:10" x14ac:dyDescent="0.25">
      <c r="A684" t="s">
        <v>706</v>
      </c>
      <c r="B684" t="s">
        <v>21</v>
      </c>
      <c r="C684" s="1">
        <v>45337</v>
      </c>
      <c r="D684">
        <v>97714</v>
      </c>
      <c r="E684">
        <v>492</v>
      </c>
      <c r="F684">
        <v>0.28000000000000003</v>
      </c>
      <c r="G684">
        <v>2</v>
      </c>
      <c r="H684" t="s">
        <v>27</v>
      </c>
      <c r="I684" t="s">
        <v>23</v>
      </c>
      <c r="J684">
        <v>30</v>
      </c>
    </row>
    <row r="685" spans="1:10" x14ac:dyDescent="0.25">
      <c r="A685" t="s">
        <v>707</v>
      </c>
      <c r="B685" t="s">
        <v>21</v>
      </c>
      <c r="C685" s="1">
        <v>45888</v>
      </c>
      <c r="D685">
        <v>77671</v>
      </c>
      <c r="E685">
        <v>520</v>
      </c>
      <c r="F685">
        <v>0.22</v>
      </c>
      <c r="G685">
        <v>3</v>
      </c>
      <c r="H685" t="s">
        <v>16</v>
      </c>
      <c r="I685" t="s">
        <v>17</v>
      </c>
      <c r="J685">
        <v>12</v>
      </c>
    </row>
    <row r="686" spans="1:10" x14ac:dyDescent="0.25">
      <c r="A686" t="s">
        <v>708</v>
      </c>
      <c r="B686" t="s">
        <v>15</v>
      </c>
      <c r="C686" s="1">
        <v>45414</v>
      </c>
      <c r="D686">
        <v>28067</v>
      </c>
      <c r="E686">
        <v>789</v>
      </c>
      <c r="F686">
        <v>0.19</v>
      </c>
      <c r="G686">
        <v>6</v>
      </c>
      <c r="H686" t="s">
        <v>16</v>
      </c>
      <c r="I686" t="s">
        <v>17</v>
      </c>
      <c r="J686">
        <v>28</v>
      </c>
    </row>
    <row r="687" spans="1:10" x14ac:dyDescent="0.25">
      <c r="A687" t="s">
        <v>709</v>
      </c>
      <c r="B687" t="s">
        <v>21</v>
      </c>
      <c r="C687" s="1">
        <v>45895</v>
      </c>
      <c r="D687">
        <v>74486</v>
      </c>
      <c r="E687">
        <v>631</v>
      </c>
      <c r="F687">
        <v>0.41</v>
      </c>
      <c r="G687">
        <v>1</v>
      </c>
      <c r="H687" t="s">
        <v>12</v>
      </c>
      <c r="I687" t="s">
        <v>23</v>
      </c>
      <c r="J687">
        <v>12</v>
      </c>
    </row>
    <row r="688" spans="1:10" x14ac:dyDescent="0.25">
      <c r="A688" t="s">
        <v>710</v>
      </c>
      <c r="B688" t="s">
        <v>15</v>
      </c>
      <c r="C688" s="1">
        <v>45525</v>
      </c>
      <c r="D688">
        <v>96948</v>
      </c>
      <c r="E688">
        <v>713</v>
      </c>
      <c r="F688">
        <v>0.4</v>
      </c>
      <c r="G688">
        <v>0</v>
      </c>
      <c r="H688" t="s">
        <v>12</v>
      </c>
      <c r="I688" t="s">
        <v>13</v>
      </c>
      <c r="J688">
        <v>24</v>
      </c>
    </row>
    <row r="689" spans="1:10" x14ac:dyDescent="0.25">
      <c r="A689" t="s">
        <v>711</v>
      </c>
      <c r="B689" t="s">
        <v>11</v>
      </c>
      <c r="C689" s="1">
        <v>45767</v>
      </c>
      <c r="D689">
        <v>120216</v>
      </c>
      <c r="E689">
        <v>748</v>
      </c>
      <c r="F689">
        <v>0.38</v>
      </c>
      <c r="G689">
        <v>4</v>
      </c>
      <c r="H689" t="s">
        <v>22</v>
      </c>
      <c r="I689" t="s">
        <v>23</v>
      </c>
      <c r="J689">
        <v>16</v>
      </c>
    </row>
    <row r="690" spans="1:10" x14ac:dyDescent="0.25">
      <c r="A690" t="s">
        <v>712</v>
      </c>
      <c r="B690" t="s">
        <v>11</v>
      </c>
      <c r="C690" s="1">
        <v>45479</v>
      </c>
      <c r="D690">
        <v>100501</v>
      </c>
      <c r="E690">
        <v>657</v>
      </c>
      <c r="F690">
        <v>0.31</v>
      </c>
      <c r="G690">
        <v>1</v>
      </c>
      <c r="H690" t="s">
        <v>19</v>
      </c>
      <c r="I690" t="s">
        <v>17</v>
      </c>
      <c r="J690">
        <v>26</v>
      </c>
    </row>
    <row r="691" spans="1:10" x14ac:dyDescent="0.25">
      <c r="A691" t="s">
        <v>713</v>
      </c>
      <c r="B691" t="s">
        <v>15</v>
      </c>
      <c r="C691" s="1">
        <v>45518</v>
      </c>
      <c r="D691">
        <v>60820</v>
      </c>
      <c r="E691">
        <v>569</v>
      </c>
      <c r="F691">
        <v>0.25</v>
      </c>
      <c r="G691">
        <v>4</v>
      </c>
      <c r="H691" t="s">
        <v>12</v>
      </c>
      <c r="I691" t="s">
        <v>23</v>
      </c>
      <c r="J691">
        <v>24</v>
      </c>
    </row>
    <row r="692" spans="1:10" x14ac:dyDescent="0.25">
      <c r="A692" t="s">
        <v>714</v>
      </c>
      <c r="B692" t="s">
        <v>15</v>
      </c>
      <c r="C692" s="1">
        <v>45741</v>
      </c>
      <c r="D692">
        <v>15149</v>
      </c>
      <c r="E692">
        <v>644</v>
      </c>
      <c r="F692">
        <v>0.27</v>
      </c>
      <c r="G692">
        <v>0</v>
      </c>
      <c r="H692" t="s">
        <v>22</v>
      </c>
      <c r="I692" t="s">
        <v>13</v>
      </c>
      <c r="J692">
        <v>17</v>
      </c>
    </row>
    <row r="693" spans="1:10" x14ac:dyDescent="0.25">
      <c r="A693" t="s">
        <v>715</v>
      </c>
      <c r="B693" t="s">
        <v>15</v>
      </c>
      <c r="C693" s="1">
        <v>45379</v>
      </c>
      <c r="D693">
        <v>137314</v>
      </c>
      <c r="E693">
        <v>698</v>
      </c>
      <c r="F693">
        <v>0.3</v>
      </c>
      <c r="G693">
        <v>0</v>
      </c>
      <c r="H693" t="s">
        <v>19</v>
      </c>
      <c r="I693" t="s">
        <v>13</v>
      </c>
      <c r="J693">
        <v>29</v>
      </c>
    </row>
    <row r="694" spans="1:10" x14ac:dyDescent="0.25">
      <c r="A694" t="s">
        <v>716</v>
      </c>
      <c r="B694" t="s">
        <v>21</v>
      </c>
      <c r="C694" s="1">
        <v>45622</v>
      </c>
      <c r="D694">
        <v>137353</v>
      </c>
      <c r="E694">
        <v>700</v>
      </c>
      <c r="F694">
        <v>0.19</v>
      </c>
      <c r="G694">
        <v>0</v>
      </c>
      <c r="H694" t="s">
        <v>19</v>
      </c>
      <c r="I694" t="s">
        <v>13</v>
      </c>
      <c r="J694">
        <v>21</v>
      </c>
    </row>
    <row r="695" spans="1:10" x14ac:dyDescent="0.25">
      <c r="A695" t="s">
        <v>717</v>
      </c>
      <c r="B695" t="s">
        <v>11</v>
      </c>
      <c r="C695" s="1">
        <v>45547</v>
      </c>
      <c r="D695">
        <v>17515</v>
      </c>
      <c r="E695">
        <v>651</v>
      </c>
      <c r="F695">
        <v>0.46</v>
      </c>
      <c r="G695">
        <v>0</v>
      </c>
      <c r="H695" t="s">
        <v>41</v>
      </c>
      <c r="I695" t="s">
        <v>13</v>
      </c>
      <c r="J695">
        <v>23</v>
      </c>
    </row>
    <row r="696" spans="1:10" x14ac:dyDescent="0.25">
      <c r="A696" t="s">
        <v>718</v>
      </c>
      <c r="B696" t="s">
        <v>15</v>
      </c>
      <c r="C696" s="1">
        <v>45953</v>
      </c>
      <c r="D696">
        <v>136129</v>
      </c>
      <c r="E696">
        <v>539</v>
      </c>
      <c r="F696">
        <v>0.65</v>
      </c>
      <c r="G696">
        <v>5</v>
      </c>
      <c r="H696" t="s">
        <v>19</v>
      </c>
      <c r="I696" t="s">
        <v>89</v>
      </c>
      <c r="J696">
        <v>10</v>
      </c>
    </row>
    <row r="697" spans="1:10" x14ac:dyDescent="0.25">
      <c r="A697" t="s">
        <v>719</v>
      </c>
      <c r="B697" t="s">
        <v>21</v>
      </c>
      <c r="C697" s="1">
        <v>45738</v>
      </c>
      <c r="D697">
        <v>115568</v>
      </c>
      <c r="E697">
        <v>736</v>
      </c>
      <c r="F697">
        <v>0.63</v>
      </c>
      <c r="G697">
        <v>0</v>
      </c>
      <c r="H697" t="s">
        <v>22</v>
      </c>
      <c r="I697" t="s">
        <v>13</v>
      </c>
      <c r="J697">
        <v>17</v>
      </c>
    </row>
    <row r="698" spans="1:10" x14ac:dyDescent="0.25">
      <c r="A698" t="s">
        <v>720</v>
      </c>
      <c r="B698" t="s">
        <v>15</v>
      </c>
      <c r="C698" s="1">
        <v>45409</v>
      </c>
      <c r="D698">
        <v>131560</v>
      </c>
      <c r="E698">
        <v>789</v>
      </c>
      <c r="F698">
        <v>0.57999999999999996</v>
      </c>
      <c r="G698">
        <v>2</v>
      </c>
      <c r="H698" t="s">
        <v>12</v>
      </c>
      <c r="I698" t="s">
        <v>17</v>
      </c>
      <c r="J698">
        <v>28</v>
      </c>
    </row>
    <row r="699" spans="1:10" x14ac:dyDescent="0.25">
      <c r="A699" t="s">
        <v>721</v>
      </c>
      <c r="B699" t="s">
        <v>21</v>
      </c>
      <c r="C699" s="1">
        <v>45662</v>
      </c>
      <c r="D699">
        <v>77890</v>
      </c>
      <c r="E699">
        <v>823</v>
      </c>
      <c r="F699">
        <v>0.52</v>
      </c>
      <c r="G699">
        <v>2</v>
      </c>
      <c r="H699" t="s">
        <v>19</v>
      </c>
      <c r="I699" t="s">
        <v>23</v>
      </c>
      <c r="J699">
        <v>20</v>
      </c>
    </row>
    <row r="700" spans="1:10" x14ac:dyDescent="0.25">
      <c r="A700" t="s">
        <v>722</v>
      </c>
      <c r="B700" t="s">
        <v>43</v>
      </c>
      <c r="C700" s="1">
        <v>45864</v>
      </c>
      <c r="D700">
        <v>15857</v>
      </c>
      <c r="E700">
        <v>491</v>
      </c>
      <c r="F700">
        <v>0.2</v>
      </c>
      <c r="G700">
        <v>0</v>
      </c>
      <c r="H700" t="s">
        <v>27</v>
      </c>
      <c r="I700" t="s">
        <v>13</v>
      </c>
      <c r="J700">
        <v>13</v>
      </c>
    </row>
    <row r="701" spans="1:10" x14ac:dyDescent="0.25">
      <c r="A701" t="s">
        <v>723</v>
      </c>
      <c r="B701" t="s">
        <v>15</v>
      </c>
      <c r="C701" s="1">
        <v>45649</v>
      </c>
      <c r="D701">
        <v>73590</v>
      </c>
      <c r="E701">
        <v>771</v>
      </c>
      <c r="F701">
        <v>0.5</v>
      </c>
      <c r="G701">
        <v>0</v>
      </c>
      <c r="H701" t="s">
        <v>27</v>
      </c>
      <c r="I701" t="s">
        <v>13</v>
      </c>
      <c r="J701">
        <v>20</v>
      </c>
    </row>
    <row r="702" spans="1:10" x14ac:dyDescent="0.25">
      <c r="A702" t="s">
        <v>724</v>
      </c>
      <c r="B702" t="s">
        <v>15</v>
      </c>
      <c r="C702" s="1">
        <v>45756</v>
      </c>
      <c r="D702">
        <v>38682</v>
      </c>
      <c r="E702">
        <v>517</v>
      </c>
      <c r="F702">
        <v>0.39</v>
      </c>
      <c r="G702">
        <v>0</v>
      </c>
      <c r="H702" t="s">
        <v>12</v>
      </c>
      <c r="I702" t="s">
        <v>13</v>
      </c>
      <c r="J702">
        <v>17</v>
      </c>
    </row>
    <row r="703" spans="1:10" x14ac:dyDescent="0.25">
      <c r="A703" t="s">
        <v>725</v>
      </c>
      <c r="B703" t="s">
        <v>21</v>
      </c>
      <c r="C703" s="1">
        <v>45816</v>
      </c>
      <c r="D703">
        <v>26054</v>
      </c>
      <c r="E703">
        <v>827</v>
      </c>
      <c r="F703">
        <v>0.19</v>
      </c>
      <c r="G703">
        <v>0</v>
      </c>
      <c r="H703" t="s">
        <v>22</v>
      </c>
      <c r="I703" t="s">
        <v>17</v>
      </c>
      <c r="J703">
        <v>15</v>
      </c>
    </row>
    <row r="704" spans="1:10" x14ac:dyDescent="0.25">
      <c r="A704" t="s">
        <v>726</v>
      </c>
      <c r="B704" t="s">
        <v>15</v>
      </c>
      <c r="C704" s="1">
        <v>45597</v>
      </c>
      <c r="D704">
        <v>129311</v>
      </c>
      <c r="E704">
        <v>799</v>
      </c>
      <c r="F704">
        <v>0.54</v>
      </c>
      <c r="G704">
        <v>0</v>
      </c>
      <c r="H704" t="s">
        <v>12</v>
      </c>
      <c r="I704" t="s">
        <v>13</v>
      </c>
      <c r="J704">
        <v>22</v>
      </c>
    </row>
    <row r="705" spans="1:10" x14ac:dyDescent="0.25">
      <c r="A705" t="s">
        <v>727</v>
      </c>
      <c r="B705" t="s">
        <v>21</v>
      </c>
      <c r="C705" s="1">
        <v>45766</v>
      </c>
      <c r="D705">
        <v>14485</v>
      </c>
      <c r="E705">
        <v>714</v>
      </c>
      <c r="F705">
        <v>0.5</v>
      </c>
      <c r="G705">
        <v>0</v>
      </c>
      <c r="H705" t="s">
        <v>19</v>
      </c>
      <c r="I705" t="s">
        <v>23</v>
      </c>
      <c r="J705">
        <v>16</v>
      </c>
    </row>
    <row r="706" spans="1:10" x14ac:dyDescent="0.25">
      <c r="A706" t="s">
        <v>728</v>
      </c>
      <c r="B706" t="s">
        <v>15</v>
      </c>
      <c r="C706" s="1">
        <v>45531</v>
      </c>
      <c r="D706">
        <v>31730</v>
      </c>
      <c r="E706">
        <v>605</v>
      </c>
      <c r="F706">
        <v>0.54</v>
      </c>
      <c r="G706">
        <v>0</v>
      </c>
      <c r="H706" t="s">
        <v>16</v>
      </c>
      <c r="I706" t="s">
        <v>13</v>
      </c>
      <c r="J706">
        <v>24</v>
      </c>
    </row>
    <row r="707" spans="1:10" x14ac:dyDescent="0.25">
      <c r="A707" t="s">
        <v>729</v>
      </c>
      <c r="B707" t="s">
        <v>43</v>
      </c>
      <c r="C707" s="1">
        <v>45419</v>
      </c>
      <c r="D707">
        <v>38683</v>
      </c>
      <c r="E707">
        <v>782</v>
      </c>
      <c r="F707">
        <v>0.42</v>
      </c>
      <c r="G707">
        <v>2</v>
      </c>
      <c r="H707" t="s">
        <v>19</v>
      </c>
      <c r="I707" t="s">
        <v>23</v>
      </c>
      <c r="J707">
        <v>28</v>
      </c>
    </row>
    <row r="708" spans="1:10" x14ac:dyDescent="0.25">
      <c r="A708" t="s">
        <v>730</v>
      </c>
      <c r="B708" t="s">
        <v>15</v>
      </c>
      <c r="C708" s="1">
        <v>45394</v>
      </c>
      <c r="D708">
        <v>64588</v>
      </c>
      <c r="E708">
        <v>485</v>
      </c>
      <c r="F708">
        <v>0.42</v>
      </c>
      <c r="G708">
        <v>4</v>
      </c>
      <c r="H708" t="s">
        <v>27</v>
      </c>
      <c r="I708" t="s">
        <v>23</v>
      </c>
      <c r="J708">
        <v>28</v>
      </c>
    </row>
    <row r="709" spans="1:10" x14ac:dyDescent="0.25">
      <c r="A709" t="s">
        <v>731</v>
      </c>
      <c r="B709" t="s">
        <v>21</v>
      </c>
      <c r="C709" s="1">
        <v>45292</v>
      </c>
      <c r="D709">
        <v>122139</v>
      </c>
      <c r="E709">
        <v>805</v>
      </c>
      <c r="F709">
        <v>0.19</v>
      </c>
      <c r="G709">
        <v>2</v>
      </c>
      <c r="H709" t="s">
        <v>12</v>
      </c>
      <c r="I709" t="s">
        <v>23</v>
      </c>
      <c r="J709">
        <v>32</v>
      </c>
    </row>
    <row r="710" spans="1:10" x14ac:dyDescent="0.25">
      <c r="A710" t="s">
        <v>732</v>
      </c>
      <c r="B710" t="s">
        <v>21</v>
      </c>
      <c r="C710" s="1">
        <v>45426</v>
      </c>
      <c r="D710">
        <v>41226</v>
      </c>
      <c r="E710">
        <v>678</v>
      </c>
      <c r="F710">
        <v>0.53</v>
      </c>
      <c r="G710">
        <v>5</v>
      </c>
      <c r="H710" t="s">
        <v>16</v>
      </c>
      <c r="I710" t="s">
        <v>17</v>
      </c>
      <c r="J710">
        <v>27</v>
      </c>
    </row>
    <row r="711" spans="1:10" x14ac:dyDescent="0.25">
      <c r="A711" t="s">
        <v>733</v>
      </c>
      <c r="B711" t="s">
        <v>21</v>
      </c>
      <c r="C711" s="1">
        <v>45373</v>
      </c>
      <c r="D711">
        <v>73593</v>
      </c>
      <c r="E711">
        <v>748</v>
      </c>
      <c r="F711">
        <v>0.26</v>
      </c>
      <c r="G711">
        <v>5</v>
      </c>
      <c r="H711" t="s">
        <v>12</v>
      </c>
      <c r="I711" t="s">
        <v>23</v>
      </c>
      <c r="J711">
        <v>29</v>
      </c>
    </row>
    <row r="712" spans="1:10" x14ac:dyDescent="0.25">
      <c r="A712" t="s">
        <v>734</v>
      </c>
      <c r="B712" t="s">
        <v>21</v>
      </c>
      <c r="C712" s="1">
        <v>45494</v>
      </c>
      <c r="D712">
        <v>43161</v>
      </c>
      <c r="E712">
        <v>557</v>
      </c>
      <c r="F712">
        <v>0.28000000000000003</v>
      </c>
      <c r="G712">
        <v>0</v>
      </c>
      <c r="H712" t="s">
        <v>12</v>
      </c>
      <c r="I712" t="s">
        <v>13</v>
      </c>
      <c r="J712">
        <v>25</v>
      </c>
    </row>
    <row r="713" spans="1:10" x14ac:dyDescent="0.25">
      <c r="A713" t="s">
        <v>735</v>
      </c>
      <c r="B713" t="s">
        <v>21</v>
      </c>
      <c r="C713" s="1">
        <v>45520</v>
      </c>
      <c r="D713">
        <v>14326</v>
      </c>
      <c r="E713">
        <v>713</v>
      </c>
      <c r="F713">
        <v>0.61</v>
      </c>
      <c r="G713">
        <v>0</v>
      </c>
      <c r="H713" t="s">
        <v>12</v>
      </c>
      <c r="I713" t="s">
        <v>13</v>
      </c>
      <c r="J713">
        <v>24</v>
      </c>
    </row>
    <row r="714" spans="1:10" x14ac:dyDescent="0.25">
      <c r="A714" t="s">
        <v>736</v>
      </c>
      <c r="B714" t="s">
        <v>15</v>
      </c>
      <c r="C714" s="1">
        <v>45340</v>
      </c>
      <c r="D714">
        <v>7872</v>
      </c>
      <c r="E714">
        <v>750</v>
      </c>
      <c r="F714">
        <v>0.54</v>
      </c>
      <c r="G714">
        <v>0</v>
      </c>
      <c r="H714" t="s">
        <v>16</v>
      </c>
      <c r="I714" t="s">
        <v>13</v>
      </c>
      <c r="J714">
        <v>30</v>
      </c>
    </row>
    <row r="715" spans="1:10" x14ac:dyDescent="0.25">
      <c r="A715" t="s">
        <v>737</v>
      </c>
      <c r="B715" t="s">
        <v>15</v>
      </c>
      <c r="C715" s="1">
        <v>45557</v>
      </c>
      <c r="D715">
        <v>45094</v>
      </c>
      <c r="E715">
        <v>633</v>
      </c>
      <c r="F715">
        <v>0.31</v>
      </c>
      <c r="G715">
        <v>0</v>
      </c>
      <c r="H715" t="s">
        <v>19</v>
      </c>
      <c r="I715" t="s">
        <v>17</v>
      </c>
      <c r="J715">
        <v>23</v>
      </c>
    </row>
    <row r="716" spans="1:10" x14ac:dyDescent="0.25">
      <c r="A716" t="s">
        <v>738</v>
      </c>
      <c r="B716" t="s">
        <v>43</v>
      </c>
      <c r="C716" s="1">
        <v>45904</v>
      </c>
      <c r="D716">
        <v>100376</v>
      </c>
      <c r="E716">
        <v>843</v>
      </c>
      <c r="F716">
        <v>0.65</v>
      </c>
      <c r="G716">
        <v>0</v>
      </c>
      <c r="H716" t="s">
        <v>16</v>
      </c>
      <c r="I716" t="s">
        <v>13</v>
      </c>
      <c r="J716">
        <v>12</v>
      </c>
    </row>
    <row r="717" spans="1:10" x14ac:dyDescent="0.25">
      <c r="A717" t="s">
        <v>739</v>
      </c>
      <c r="B717" t="s">
        <v>15</v>
      </c>
      <c r="C717" s="1">
        <v>45984</v>
      </c>
      <c r="D717">
        <v>34028</v>
      </c>
      <c r="E717">
        <v>804</v>
      </c>
      <c r="F717">
        <v>0.4</v>
      </c>
      <c r="G717">
        <v>0</v>
      </c>
      <c r="H717" t="s">
        <v>16</v>
      </c>
      <c r="I717" t="s">
        <v>23</v>
      </c>
      <c r="J717">
        <v>9</v>
      </c>
    </row>
    <row r="718" spans="1:10" x14ac:dyDescent="0.25">
      <c r="A718" t="s">
        <v>740</v>
      </c>
      <c r="B718" t="s">
        <v>15</v>
      </c>
      <c r="C718" s="1">
        <v>45452</v>
      </c>
      <c r="D718">
        <v>146392</v>
      </c>
      <c r="E718">
        <v>540</v>
      </c>
      <c r="F718">
        <v>0.22</v>
      </c>
      <c r="G718">
        <v>0</v>
      </c>
      <c r="H718" t="s">
        <v>22</v>
      </c>
      <c r="I718" t="s">
        <v>13</v>
      </c>
      <c r="J718">
        <v>27</v>
      </c>
    </row>
    <row r="719" spans="1:10" x14ac:dyDescent="0.25">
      <c r="A719" t="s">
        <v>741</v>
      </c>
      <c r="B719" t="s">
        <v>21</v>
      </c>
      <c r="C719" s="1">
        <v>45784</v>
      </c>
      <c r="D719">
        <v>84449</v>
      </c>
      <c r="E719">
        <v>824</v>
      </c>
      <c r="F719">
        <v>0.52</v>
      </c>
      <c r="G719">
        <v>0</v>
      </c>
      <c r="H719" t="s">
        <v>19</v>
      </c>
      <c r="I719" t="s">
        <v>13</v>
      </c>
      <c r="J719">
        <v>16</v>
      </c>
    </row>
    <row r="720" spans="1:10" x14ac:dyDescent="0.25">
      <c r="A720" t="s">
        <v>742</v>
      </c>
      <c r="B720" t="s">
        <v>11</v>
      </c>
      <c r="C720" s="1">
        <v>45637</v>
      </c>
      <c r="D720">
        <v>138609</v>
      </c>
      <c r="E720">
        <v>552</v>
      </c>
      <c r="F720">
        <v>0.56999999999999995</v>
      </c>
      <c r="G720">
        <v>2</v>
      </c>
      <c r="H720" t="s">
        <v>12</v>
      </c>
      <c r="I720" t="s">
        <v>23</v>
      </c>
      <c r="J720">
        <v>20</v>
      </c>
    </row>
    <row r="721" spans="1:10" x14ac:dyDescent="0.25">
      <c r="A721" t="s">
        <v>743</v>
      </c>
      <c r="B721" t="s">
        <v>15</v>
      </c>
      <c r="C721" s="1">
        <v>45612</v>
      </c>
      <c r="D721">
        <v>38296</v>
      </c>
      <c r="E721">
        <v>610</v>
      </c>
      <c r="F721">
        <v>0.27</v>
      </c>
      <c r="G721">
        <v>0</v>
      </c>
      <c r="H721" t="s">
        <v>41</v>
      </c>
      <c r="I721" t="s">
        <v>13</v>
      </c>
      <c r="J721">
        <v>21</v>
      </c>
    </row>
    <row r="722" spans="1:10" x14ac:dyDescent="0.25">
      <c r="A722" t="s">
        <v>744</v>
      </c>
      <c r="B722" t="s">
        <v>11</v>
      </c>
      <c r="C722" s="1">
        <v>45327</v>
      </c>
      <c r="D722">
        <v>104344</v>
      </c>
      <c r="E722">
        <v>680</v>
      </c>
      <c r="F722">
        <v>0.61</v>
      </c>
      <c r="G722">
        <v>0</v>
      </c>
      <c r="H722" t="s">
        <v>12</v>
      </c>
      <c r="I722" t="s">
        <v>13</v>
      </c>
      <c r="J722">
        <v>31</v>
      </c>
    </row>
    <row r="723" spans="1:10" x14ac:dyDescent="0.25">
      <c r="A723" t="s">
        <v>745</v>
      </c>
      <c r="B723" t="s">
        <v>11</v>
      </c>
      <c r="C723" s="1">
        <v>45327</v>
      </c>
      <c r="D723">
        <v>65680</v>
      </c>
      <c r="E723">
        <v>626</v>
      </c>
      <c r="F723">
        <v>0.37</v>
      </c>
      <c r="G723">
        <v>0</v>
      </c>
      <c r="H723" t="s">
        <v>16</v>
      </c>
      <c r="I723" t="s">
        <v>13</v>
      </c>
      <c r="J723">
        <v>31</v>
      </c>
    </row>
    <row r="724" spans="1:10" x14ac:dyDescent="0.25">
      <c r="A724" t="s">
        <v>746</v>
      </c>
      <c r="B724" t="s">
        <v>21</v>
      </c>
      <c r="C724" s="1">
        <v>45825</v>
      </c>
      <c r="D724">
        <v>111895</v>
      </c>
      <c r="E724">
        <v>665</v>
      </c>
      <c r="F724">
        <v>0.45</v>
      </c>
      <c r="G724">
        <v>2</v>
      </c>
      <c r="H724" t="s">
        <v>16</v>
      </c>
      <c r="I724" t="s">
        <v>23</v>
      </c>
      <c r="J724">
        <v>14</v>
      </c>
    </row>
    <row r="725" spans="1:10" x14ac:dyDescent="0.25">
      <c r="A725" t="s">
        <v>747</v>
      </c>
      <c r="B725" t="s">
        <v>21</v>
      </c>
      <c r="C725" s="1">
        <v>45611</v>
      </c>
      <c r="D725">
        <v>148780</v>
      </c>
      <c r="E725">
        <v>534</v>
      </c>
      <c r="F725">
        <v>0.62</v>
      </c>
      <c r="G725">
        <v>3</v>
      </c>
      <c r="H725" t="s">
        <v>41</v>
      </c>
      <c r="I725" t="s">
        <v>89</v>
      </c>
      <c r="J725">
        <v>21</v>
      </c>
    </row>
    <row r="726" spans="1:10" x14ac:dyDescent="0.25">
      <c r="A726" t="s">
        <v>748</v>
      </c>
      <c r="B726" t="s">
        <v>15</v>
      </c>
      <c r="C726" s="1">
        <v>45583</v>
      </c>
      <c r="D726">
        <v>23532</v>
      </c>
      <c r="E726">
        <v>663</v>
      </c>
      <c r="F726">
        <v>0.35</v>
      </c>
      <c r="G726">
        <v>0</v>
      </c>
      <c r="H726" t="s">
        <v>22</v>
      </c>
      <c r="I726" t="s">
        <v>13</v>
      </c>
      <c r="J726">
        <v>22</v>
      </c>
    </row>
    <row r="727" spans="1:10" x14ac:dyDescent="0.25">
      <c r="A727" t="s">
        <v>749</v>
      </c>
      <c r="B727" t="s">
        <v>21</v>
      </c>
      <c r="C727" s="1">
        <v>45910</v>
      </c>
      <c r="D727">
        <v>22661</v>
      </c>
      <c r="E727">
        <v>674</v>
      </c>
      <c r="F727">
        <v>0.53</v>
      </c>
      <c r="G727">
        <v>3</v>
      </c>
      <c r="H727" t="s">
        <v>19</v>
      </c>
      <c r="I727" t="s">
        <v>23</v>
      </c>
      <c r="J727">
        <v>11</v>
      </c>
    </row>
    <row r="728" spans="1:10" x14ac:dyDescent="0.25">
      <c r="A728" t="s">
        <v>750</v>
      </c>
      <c r="B728" t="s">
        <v>21</v>
      </c>
      <c r="C728" s="1">
        <v>45923</v>
      </c>
      <c r="D728">
        <v>108597</v>
      </c>
      <c r="E728">
        <v>710</v>
      </c>
      <c r="F728">
        <v>0.5</v>
      </c>
      <c r="G728">
        <v>0</v>
      </c>
      <c r="H728" t="s">
        <v>41</v>
      </c>
      <c r="I728" t="s">
        <v>13</v>
      </c>
      <c r="J728">
        <v>11</v>
      </c>
    </row>
    <row r="729" spans="1:10" x14ac:dyDescent="0.25">
      <c r="A729" t="s">
        <v>751</v>
      </c>
      <c r="B729" t="s">
        <v>21</v>
      </c>
      <c r="C729" s="1">
        <v>45647</v>
      </c>
      <c r="D729">
        <v>92511</v>
      </c>
      <c r="E729">
        <v>765</v>
      </c>
      <c r="F729">
        <v>0.22</v>
      </c>
      <c r="G729">
        <v>4</v>
      </c>
      <c r="H729" t="s">
        <v>19</v>
      </c>
      <c r="I729" t="s">
        <v>23</v>
      </c>
      <c r="J729">
        <v>20</v>
      </c>
    </row>
    <row r="730" spans="1:10" x14ac:dyDescent="0.25">
      <c r="A730" t="s">
        <v>752</v>
      </c>
      <c r="B730" t="s">
        <v>11</v>
      </c>
      <c r="C730" s="1">
        <v>45610</v>
      </c>
      <c r="D730">
        <v>113354</v>
      </c>
      <c r="E730">
        <v>786</v>
      </c>
      <c r="F730">
        <v>0.57999999999999996</v>
      </c>
      <c r="G730">
        <v>0</v>
      </c>
      <c r="H730" t="s">
        <v>41</v>
      </c>
      <c r="I730" t="s">
        <v>13</v>
      </c>
      <c r="J730">
        <v>21</v>
      </c>
    </row>
    <row r="731" spans="1:10" x14ac:dyDescent="0.25">
      <c r="A731" t="s">
        <v>753</v>
      </c>
      <c r="B731" t="s">
        <v>43</v>
      </c>
      <c r="C731" s="1">
        <v>45638</v>
      </c>
      <c r="D731">
        <v>129726</v>
      </c>
      <c r="E731">
        <v>745</v>
      </c>
      <c r="F731">
        <v>0.28999999999999998</v>
      </c>
      <c r="G731">
        <v>0</v>
      </c>
      <c r="H731" t="s">
        <v>41</v>
      </c>
      <c r="I731" t="s">
        <v>17</v>
      </c>
      <c r="J731">
        <v>20</v>
      </c>
    </row>
    <row r="732" spans="1:10" x14ac:dyDescent="0.25">
      <c r="A732" t="s">
        <v>754</v>
      </c>
      <c r="B732" t="s">
        <v>15</v>
      </c>
      <c r="C732" s="1">
        <v>45458</v>
      </c>
      <c r="D732">
        <v>15356</v>
      </c>
      <c r="E732">
        <v>451</v>
      </c>
      <c r="F732">
        <v>0.48</v>
      </c>
      <c r="G732">
        <v>0</v>
      </c>
      <c r="H732" t="s">
        <v>16</v>
      </c>
      <c r="I732" t="s">
        <v>13</v>
      </c>
      <c r="J732">
        <v>26</v>
      </c>
    </row>
    <row r="733" spans="1:10" x14ac:dyDescent="0.25">
      <c r="A733" t="s">
        <v>755</v>
      </c>
      <c r="B733" t="s">
        <v>15</v>
      </c>
      <c r="C733" s="1">
        <v>45780</v>
      </c>
      <c r="D733">
        <v>106953</v>
      </c>
      <c r="E733">
        <v>480</v>
      </c>
      <c r="F733">
        <v>0.61</v>
      </c>
      <c r="G733">
        <v>5</v>
      </c>
      <c r="H733" t="s">
        <v>16</v>
      </c>
      <c r="I733" t="s">
        <v>89</v>
      </c>
      <c r="J733">
        <v>16</v>
      </c>
    </row>
    <row r="734" spans="1:10" x14ac:dyDescent="0.25">
      <c r="A734" t="s">
        <v>756</v>
      </c>
      <c r="B734" t="s">
        <v>11</v>
      </c>
      <c r="C734" s="1">
        <v>45339</v>
      </c>
      <c r="D734">
        <v>105962</v>
      </c>
      <c r="E734">
        <v>771</v>
      </c>
      <c r="F734">
        <v>0.35</v>
      </c>
      <c r="G734">
        <v>5</v>
      </c>
      <c r="H734" t="s">
        <v>12</v>
      </c>
      <c r="I734" t="s">
        <v>23</v>
      </c>
      <c r="J734">
        <v>30</v>
      </c>
    </row>
    <row r="735" spans="1:10" x14ac:dyDescent="0.25">
      <c r="A735" t="s">
        <v>757</v>
      </c>
      <c r="B735" t="s">
        <v>15</v>
      </c>
      <c r="C735" s="1">
        <v>45533</v>
      </c>
      <c r="D735">
        <v>98452</v>
      </c>
      <c r="E735">
        <v>802</v>
      </c>
      <c r="F735">
        <v>0.27</v>
      </c>
      <c r="G735">
        <v>6</v>
      </c>
      <c r="H735" t="s">
        <v>19</v>
      </c>
      <c r="I735" t="s">
        <v>17</v>
      </c>
      <c r="J735">
        <v>24</v>
      </c>
    </row>
    <row r="736" spans="1:10" x14ac:dyDescent="0.25">
      <c r="A736" t="s">
        <v>758</v>
      </c>
      <c r="B736" t="s">
        <v>15</v>
      </c>
      <c r="C736" s="1">
        <v>45628</v>
      </c>
      <c r="D736">
        <v>139672</v>
      </c>
      <c r="E736">
        <v>817</v>
      </c>
      <c r="F736">
        <v>0.21</v>
      </c>
      <c r="G736">
        <v>6</v>
      </c>
      <c r="H736" t="s">
        <v>41</v>
      </c>
      <c r="I736" t="s">
        <v>23</v>
      </c>
      <c r="J736">
        <v>21</v>
      </c>
    </row>
    <row r="737" spans="1:10" x14ac:dyDescent="0.25">
      <c r="A737" t="s">
        <v>759</v>
      </c>
      <c r="B737" t="s">
        <v>21</v>
      </c>
      <c r="C737" s="1">
        <v>45439</v>
      </c>
      <c r="D737">
        <v>66683</v>
      </c>
      <c r="E737">
        <v>509</v>
      </c>
      <c r="F737">
        <v>0.62</v>
      </c>
      <c r="G737">
        <v>4</v>
      </c>
      <c r="H737" t="s">
        <v>22</v>
      </c>
      <c r="I737" t="s">
        <v>89</v>
      </c>
      <c r="J737">
        <v>27</v>
      </c>
    </row>
    <row r="738" spans="1:10" x14ac:dyDescent="0.25">
      <c r="A738" t="s">
        <v>760</v>
      </c>
      <c r="B738" t="s">
        <v>11</v>
      </c>
      <c r="C738" s="1">
        <v>45306</v>
      </c>
      <c r="D738">
        <v>34362</v>
      </c>
      <c r="E738">
        <v>759</v>
      </c>
      <c r="F738">
        <v>0.22</v>
      </c>
      <c r="G738">
        <v>0</v>
      </c>
      <c r="H738" t="s">
        <v>41</v>
      </c>
      <c r="I738" t="s">
        <v>13</v>
      </c>
      <c r="J738">
        <v>31</v>
      </c>
    </row>
    <row r="739" spans="1:10" x14ac:dyDescent="0.25">
      <c r="A739" t="s">
        <v>761</v>
      </c>
      <c r="B739" t="s">
        <v>21</v>
      </c>
      <c r="C739" s="1">
        <v>45694</v>
      </c>
      <c r="D739">
        <v>80969</v>
      </c>
      <c r="E739">
        <v>579</v>
      </c>
      <c r="F739">
        <v>0.28999999999999998</v>
      </c>
      <c r="G739">
        <v>0</v>
      </c>
      <c r="H739" t="s">
        <v>27</v>
      </c>
      <c r="I739" t="s">
        <v>13</v>
      </c>
      <c r="J739">
        <v>19</v>
      </c>
    </row>
    <row r="740" spans="1:10" x14ac:dyDescent="0.25">
      <c r="A740" t="s">
        <v>762</v>
      </c>
      <c r="B740" t="s">
        <v>43</v>
      </c>
      <c r="C740" s="1">
        <v>45978</v>
      </c>
      <c r="D740">
        <v>25436</v>
      </c>
      <c r="E740">
        <v>624</v>
      </c>
      <c r="F740">
        <v>0.53</v>
      </c>
      <c r="G740">
        <v>1</v>
      </c>
      <c r="H740" t="s">
        <v>27</v>
      </c>
      <c r="I740" t="s">
        <v>23</v>
      </c>
      <c r="J740">
        <v>9</v>
      </c>
    </row>
    <row r="741" spans="1:10" x14ac:dyDescent="0.25">
      <c r="A741" t="s">
        <v>763</v>
      </c>
      <c r="B741" t="s">
        <v>43</v>
      </c>
      <c r="C741" s="1">
        <v>45713</v>
      </c>
      <c r="D741">
        <v>51329</v>
      </c>
      <c r="E741">
        <v>726</v>
      </c>
      <c r="F741">
        <v>0.43</v>
      </c>
      <c r="G741">
        <v>0</v>
      </c>
      <c r="H741" t="s">
        <v>19</v>
      </c>
      <c r="I741" t="s">
        <v>23</v>
      </c>
      <c r="J741">
        <v>18</v>
      </c>
    </row>
    <row r="742" spans="1:10" x14ac:dyDescent="0.25">
      <c r="A742" t="s">
        <v>764</v>
      </c>
      <c r="B742" t="s">
        <v>15</v>
      </c>
      <c r="C742" s="1">
        <v>45835</v>
      </c>
      <c r="D742">
        <v>74369</v>
      </c>
      <c r="E742">
        <v>594</v>
      </c>
      <c r="F742">
        <v>0.45</v>
      </c>
      <c r="G742">
        <v>3</v>
      </c>
      <c r="H742" t="s">
        <v>41</v>
      </c>
      <c r="I742" t="s">
        <v>23</v>
      </c>
      <c r="J742">
        <v>14</v>
      </c>
    </row>
    <row r="743" spans="1:10" x14ac:dyDescent="0.25">
      <c r="A743" t="s">
        <v>765</v>
      </c>
      <c r="B743" t="s">
        <v>15</v>
      </c>
      <c r="C743" s="1">
        <v>45484</v>
      </c>
      <c r="D743">
        <v>96984</v>
      </c>
      <c r="E743">
        <v>466</v>
      </c>
      <c r="F743">
        <v>0.61</v>
      </c>
      <c r="G743">
        <v>3</v>
      </c>
      <c r="H743" t="s">
        <v>16</v>
      </c>
      <c r="I743" t="s">
        <v>23</v>
      </c>
      <c r="J743">
        <v>25</v>
      </c>
    </row>
    <row r="744" spans="1:10" x14ac:dyDescent="0.25">
      <c r="A744" t="s">
        <v>766</v>
      </c>
      <c r="B744" t="s">
        <v>15</v>
      </c>
      <c r="C744" s="1">
        <v>45447</v>
      </c>
      <c r="D744">
        <v>104574</v>
      </c>
      <c r="E744">
        <v>632</v>
      </c>
      <c r="F744">
        <v>0.26</v>
      </c>
      <c r="G744">
        <v>0</v>
      </c>
      <c r="H744" t="s">
        <v>12</v>
      </c>
      <c r="I744" t="s">
        <v>13</v>
      </c>
      <c r="J744">
        <v>27</v>
      </c>
    </row>
    <row r="745" spans="1:10" x14ac:dyDescent="0.25">
      <c r="A745" t="s">
        <v>767</v>
      </c>
      <c r="B745" t="s">
        <v>15</v>
      </c>
      <c r="C745" s="1">
        <v>45443</v>
      </c>
      <c r="D745">
        <v>25740</v>
      </c>
      <c r="E745">
        <v>452</v>
      </c>
      <c r="F745">
        <v>0.2</v>
      </c>
      <c r="G745">
        <v>0</v>
      </c>
      <c r="H745" t="s">
        <v>19</v>
      </c>
      <c r="I745" t="s">
        <v>13</v>
      </c>
      <c r="J745">
        <v>27</v>
      </c>
    </row>
    <row r="746" spans="1:10" x14ac:dyDescent="0.25">
      <c r="A746" t="s">
        <v>768</v>
      </c>
      <c r="B746" t="s">
        <v>11</v>
      </c>
      <c r="C746" s="1">
        <v>45926</v>
      </c>
      <c r="D746">
        <v>135098</v>
      </c>
      <c r="E746">
        <v>770</v>
      </c>
      <c r="F746">
        <v>0.5</v>
      </c>
      <c r="G746">
        <v>0</v>
      </c>
      <c r="H746" t="s">
        <v>12</v>
      </c>
      <c r="I746" t="s">
        <v>13</v>
      </c>
      <c r="J746">
        <v>11</v>
      </c>
    </row>
    <row r="747" spans="1:10" x14ac:dyDescent="0.25">
      <c r="A747" t="s">
        <v>769</v>
      </c>
      <c r="B747" t="s">
        <v>11</v>
      </c>
      <c r="C747" s="1">
        <v>45748</v>
      </c>
      <c r="D747">
        <v>95585</v>
      </c>
      <c r="E747">
        <v>733</v>
      </c>
      <c r="F747">
        <v>0.48</v>
      </c>
      <c r="G747">
        <v>0</v>
      </c>
      <c r="H747" t="s">
        <v>22</v>
      </c>
      <c r="I747" t="s">
        <v>13</v>
      </c>
      <c r="J747">
        <v>17</v>
      </c>
    </row>
    <row r="748" spans="1:10" x14ac:dyDescent="0.25">
      <c r="A748" t="s">
        <v>770</v>
      </c>
      <c r="B748" t="s">
        <v>21</v>
      </c>
      <c r="C748" s="1">
        <v>45714</v>
      </c>
      <c r="D748">
        <v>54439</v>
      </c>
      <c r="E748">
        <v>534</v>
      </c>
      <c r="F748">
        <v>0.25</v>
      </c>
      <c r="G748">
        <v>0</v>
      </c>
      <c r="H748" t="s">
        <v>19</v>
      </c>
      <c r="I748" t="s">
        <v>13</v>
      </c>
      <c r="J748">
        <v>18</v>
      </c>
    </row>
    <row r="749" spans="1:10" x14ac:dyDescent="0.25">
      <c r="A749" t="s">
        <v>771</v>
      </c>
      <c r="B749" t="s">
        <v>15</v>
      </c>
      <c r="C749" s="1">
        <v>45733</v>
      </c>
      <c r="D749">
        <v>116398</v>
      </c>
      <c r="E749">
        <v>548</v>
      </c>
      <c r="F749">
        <v>0.49</v>
      </c>
      <c r="G749">
        <v>5</v>
      </c>
      <c r="H749" t="s">
        <v>19</v>
      </c>
      <c r="I749" t="s">
        <v>89</v>
      </c>
      <c r="J749">
        <v>17</v>
      </c>
    </row>
    <row r="750" spans="1:10" x14ac:dyDescent="0.25">
      <c r="A750" t="s">
        <v>772</v>
      </c>
      <c r="B750" t="s">
        <v>43</v>
      </c>
      <c r="C750" s="1">
        <v>45694</v>
      </c>
      <c r="D750">
        <v>22243</v>
      </c>
      <c r="E750">
        <v>543</v>
      </c>
      <c r="F750">
        <v>0.26</v>
      </c>
      <c r="G750">
        <v>6</v>
      </c>
      <c r="H750" t="s">
        <v>27</v>
      </c>
      <c r="I750" t="s">
        <v>17</v>
      </c>
      <c r="J750">
        <v>19</v>
      </c>
    </row>
    <row r="751" spans="1:10" x14ac:dyDescent="0.25">
      <c r="A751" t="s">
        <v>773</v>
      </c>
      <c r="B751" t="s">
        <v>21</v>
      </c>
      <c r="C751" s="1">
        <v>45743</v>
      </c>
      <c r="D751">
        <v>31140</v>
      </c>
      <c r="E751">
        <v>707</v>
      </c>
      <c r="F751">
        <v>0.18</v>
      </c>
      <c r="G751">
        <v>0</v>
      </c>
      <c r="H751" t="s">
        <v>41</v>
      </c>
      <c r="I751" t="s">
        <v>13</v>
      </c>
      <c r="J751">
        <v>17</v>
      </c>
    </row>
    <row r="752" spans="1:10" x14ac:dyDescent="0.25">
      <c r="A752" t="s">
        <v>774</v>
      </c>
      <c r="B752" t="s">
        <v>21</v>
      </c>
      <c r="C752" s="1">
        <v>45713</v>
      </c>
      <c r="D752">
        <v>30900</v>
      </c>
      <c r="E752">
        <v>798</v>
      </c>
      <c r="F752">
        <v>0.59</v>
      </c>
      <c r="G752">
        <v>0</v>
      </c>
      <c r="H752" t="s">
        <v>41</v>
      </c>
      <c r="I752" t="s">
        <v>13</v>
      </c>
      <c r="J752">
        <v>18</v>
      </c>
    </row>
    <row r="753" spans="1:10" x14ac:dyDescent="0.25">
      <c r="A753" t="s">
        <v>775</v>
      </c>
      <c r="B753" t="s">
        <v>11</v>
      </c>
      <c r="C753" s="1">
        <v>45294</v>
      </c>
      <c r="D753">
        <v>55128</v>
      </c>
      <c r="E753">
        <v>765</v>
      </c>
      <c r="F753">
        <v>0.52</v>
      </c>
      <c r="G753">
        <v>0</v>
      </c>
      <c r="H753" t="s">
        <v>19</v>
      </c>
      <c r="I753" t="s">
        <v>13</v>
      </c>
      <c r="J753">
        <v>32</v>
      </c>
    </row>
    <row r="754" spans="1:10" x14ac:dyDescent="0.25">
      <c r="A754" t="s">
        <v>776</v>
      </c>
      <c r="B754" t="s">
        <v>21</v>
      </c>
      <c r="C754" s="1">
        <v>45650</v>
      </c>
      <c r="D754">
        <v>11967</v>
      </c>
      <c r="E754">
        <v>729</v>
      </c>
      <c r="F754">
        <v>0.5</v>
      </c>
      <c r="G754">
        <v>6</v>
      </c>
      <c r="H754" t="s">
        <v>12</v>
      </c>
      <c r="I754" t="s">
        <v>23</v>
      </c>
      <c r="J754">
        <v>20</v>
      </c>
    </row>
    <row r="755" spans="1:10" x14ac:dyDescent="0.25">
      <c r="A755" t="s">
        <v>777</v>
      </c>
      <c r="B755" t="s">
        <v>21</v>
      </c>
      <c r="C755" s="1">
        <v>45601</v>
      </c>
      <c r="D755">
        <v>47318</v>
      </c>
      <c r="E755">
        <v>660</v>
      </c>
      <c r="F755">
        <v>0.57999999999999996</v>
      </c>
      <c r="G755">
        <v>0</v>
      </c>
      <c r="H755" t="s">
        <v>12</v>
      </c>
      <c r="I755" t="s">
        <v>13</v>
      </c>
      <c r="J755">
        <v>22</v>
      </c>
    </row>
    <row r="756" spans="1:10" x14ac:dyDescent="0.25">
      <c r="A756" t="s">
        <v>778</v>
      </c>
      <c r="B756" t="s">
        <v>21</v>
      </c>
      <c r="C756" s="1">
        <v>45725</v>
      </c>
      <c r="D756">
        <v>121751</v>
      </c>
      <c r="E756">
        <v>716</v>
      </c>
      <c r="F756">
        <v>0.28000000000000003</v>
      </c>
      <c r="G756">
        <v>0</v>
      </c>
      <c r="H756" t="s">
        <v>12</v>
      </c>
      <c r="I756" t="s">
        <v>13</v>
      </c>
      <c r="J756">
        <v>18</v>
      </c>
    </row>
    <row r="757" spans="1:10" x14ac:dyDescent="0.25">
      <c r="A757" t="s">
        <v>779</v>
      </c>
      <c r="B757" t="s">
        <v>21</v>
      </c>
      <c r="C757" s="1">
        <v>45823</v>
      </c>
      <c r="D757">
        <v>84481</v>
      </c>
      <c r="E757">
        <v>452</v>
      </c>
      <c r="F757">
        <v>0.38</v>
      </c>
      <c r="G757">
        <v>0</v>
      </c>
      <c r="H757" t="s">
        <v>19</v>
      </c>
      <c r="I757" t="s">
        <v>13</v>
      </c>
      <c r="J757">
        <v>14</v>
      </c>
    </row>
    <row r="758" spans="1:10" x14ac:dyDescent="0.25">
      <c r="A758" t="s">
        <v>780</v>
      </c>
      <c r="B758" t="s">
        <v>15</v>
      </c>
      <c r="C758" s="1">
        <v>45590</v>
      </c>
      <c r="D758">
        <v>144538</v>
      </c>
      <c r="E758">
        <v>584</v>
      </c>
      <c r="F758">
        <v>0.46</v>
      </c>
      <c r="G758">
        <v>1</v>
      </c>
      <c r="H758" t="s">
        <v>12</v>
      </c>
      <c r="I758" t="s">
        <v>23</v>
      </c>
      <c r="J758">
        <v>22</v>
      </c>
    </row>
    <row r="759" spans="1:10" x14ac:dyDescent="0.25">
      <c r="A759" t="s">
        <v>781</v>
      </c>
      <c r="B759" t="s">
        <v>43</v>
      </c>
      <c r="C759" s="1">
        <v>45915</v>
      </c>
      <c r="D759">
        <v>86513</v>
      </c>
      <c r="E759">
        <v>777</v>
      </c>
      <c r="F759">
        <v>0.62</v>
      </c>
      <c r="G759">
        <v>0</v>
      </c>
      <c r="H759" t="s">
        <v>12</v>
      </c>
      <c r="I759" t="s">
        <v>13</v>
      </c>
      <c r="J759">
        <v>11</v>
      </c>
    </row>
    <row r="760" spans="1:10" x14ac:dyDescent="0.25">
      <c r="A760" t="s">
        <v>782</v>
      </c>
      <c r="B760" t="s">
        <v>15</v>
      </c>
      <c r="C760" s="1">
        <v>45718</v>
      </c>
      <c r="D760">
        <v>139768</v>
      </c>
      <c r="E760">
        <v>778</v>
      </c>
      <c r="F760">
        <v>0.61</v>
      </c>
      <c r="G760">
        <v>0</v>
      </c>
      <c r="H760" t="s">
        <v>41</v>
      </c>
      <c r="I760" t="s">
        <v>23</v>
      </c>
      <c r="J760">
        <v>18</v>
      </c>
    </row>
    <row r="761" spans="1:10" x14ac:dyDescent="0.25">
      <c r="A761" t="s">
        <v>783</v>
      </c>
      <c r="B761" t="s">
        <v>21</v>
      </c>
      <c r="C761" s="1">
        <v>45474</v>
      </c>
      <c r="D761">
        <v>119419</v>
      </c>
      <c r="E761">
        <v>9999</v>
      </c>
      <c r="F761">
        <v>0.31</v>
      </c>
      <c r="G761">
        <v>4</v>
      </c>
      <c r="H761" t="s">
        <v>27</v>
      </c>
      <c r="I761" t="s">
        <v>17</v>
      </c>
      <c r="J761">
        <v>26</v>
      </c>
    </row>
    <row r="762" spans="1:10" x14ac:dyDescent="0.25">
      <c r="A762" t="s">
        <v>784</v>
      </c>
      <c r="B762" t="s">
        <v>15</v>
      </c>
      <c r="C762" s="1">
        <v>45768</v>
      </c>
      <c r="D762">
        <v>143909</v>
      </c>
      <c r="E762">
        <v>537</v>
      </c>
      <c r="F762">
        <v>0.2</v>
      </c>
      <c r="G762">
        <v>0</v>
      </c>
      <c r="H762" t="s">
        <v>19</v>
      </c>
      <c r="I762" t="s">
        <v>13</v>
      </c>
      <c r="J762">
        <v>16</v>
      </c>
    </row>
    <row r="763" spans="1:10" x14ac:dyDescent="0.25">
      <c r="A763" t="s">
        <v>785</v>
      </c>
      <c r="B763" t="s">
        <v>21</v>
      </c>
      <c r="C763" s="1">
        <v>45714</v>
      </c>
      <c r="D763">
        <v>118814</v>
      </c>
      <c r="E763">
        <v>607</v>
      </c>
      <c r="F763">
        <v>0.48</v>
      </c>
      <c r="G763">
        <v>5</v>
      </c>
      <c r="H763" t="s">
        <v>19</v>
      </c>
      <c r="I763" t="s">
        <v>23</v>
      </c>
      <c r="J763">
        <v>18</v>
      </c>
    </row>
    <row r="764" spans="1:10" x14ac:dyDescent="0.25">
      <c r="A764" t="s">
        <v>786</v>
      </c>
      <c r="B764" t="s">
        <v>21</v>
      </c>
      <c r="C764" s="1">
        <v>45836</v>
      </c>
      <c r="D764">
        <v>34534</v>
      </c>
      <c r="E764">
        <v>450</v>
      </c>
      <c r="F764">
        <v>0.5</v>
      </c>
      <c r="G764">
        <v>1</v>
      </c>
      <c r="H764" t="s">
        <v>41</v>
      </c>
      <c r="I764" t="s">
        <v>89</v>
      </c>
      <c r="J764">
        <v>14</v>
      </c>
    </row>
    <row r="765" spans="1:10" x14ac:dyDescent="0.25">
      <c r="A765" t="s">
        <v>787</v>
      </c>
      <c r="B765" t="s">
        <v>15</v>
      </c>
      <c r="C765" s="1">
        <v>45775</v>
      </c>
      <c r="D765">
        <v>67159</v>
      </c>
      <c r="E765">
        <v>617</v>
      </c>
      <c r="F765">
        <v>0.37</v>
      </c>
      <c r="G765">
        <v>0</v>
      </c>
      <c r="H765" t="s">
        <v>19</v>
      </c>
      <c r="I765" t="s">
        <v>13</v>
      </c>
      <c r="J765">
        <v>16</v>
      </c>
    </row>
    <row r="766" spans="1:10" x14ac:dyDescent="0.25">
      <c r="A766" t="s">
        <v>788</v>
      </c>
      <c r="B766" t="s">
        <v>11</v>
      </c>
      <c r="C766" s="1">
        <v>45935</v>
      </c>
      <c r="D766">
        <v>68248</v>
      </c>
      <c r="E766">
        <v>671</v>
      </c>
      <c r="F766">
        <v>0.41</v>
      </c>
      <c r="G766">
        <v>0</v>
      </c>
      <c r="H766" t="s">
        <v>19</v>
      </c>
      <c r="I766" t="s">
        <v>13</v>
      </c>
      <c r="J766">
        <v>11</v>
      </c>
    </row>
    <row r="767" spans="1:10" x14ac:dyDescent="0.25">
      <c r="A767" t="s">
        <v>789</v>
      </c>
      <c r="B767" t="s">
        <v>43</v>
      </c>
      <c r="C767" s="1">
        <v>45765</v>
      </c>
      <c r="D767">
        <v>96080</v>
      </c>
      <c r="E767">
        <v>759</v>
      </c>
      <c r="F767">
        <v>0.64</v>
      </c>
      <c r="G767">
        <v>0</v>
      </c>
      <c r="H767" t="s">
        <v>16</v>
      </c>
      <c r="I767" t="s">
        <v>13</v>
      </c>
      <c r="J767">
        <v>16</v>
      </c>
    </row>
    <row r="768" spans="1:10" x14ac:dyDescent="0.25">
      <c r="A768" t="s">
        <v>790</v>
      </c>
      <c r="B768" t="s">
        <v>11</v>
      </c>
      <c r="C768" s="1">
        <v>45895</v>
      </c>
      <c r="D768">
        <v>24695</v>
      </c>
      <c r="E768">
        <v>712</v>
      </c>
      <c r="F768">
        <v>0.32</v>
      </c>
      <c r="G768">
        <v>0</v>
      </c>
      <c r="H768" t="s">
        <v>22</v>
      </c>
      <c r="I768" t="s">
        <v>13</v>
      </c>
      <c r="J768">
        <v>12</v>
      </c>
    </row>
    <row r="769" spans="1:10" x14ac:dyDescent="0.25">
      <c r="A769" t="s">
        <v>791</v>
      </c>
      <c r="B769" t="s">
        <v>43</v>
      </c>
      <c r="C769" s="1">
        <v>45697</v>
      </c>
      <c r="D769">
        <v>114332</v>
      </c>
      <c r="E769">
        <v>727</v>
      </c>
      <c r="F769">
        <v>0.57999999999999996</v>
      </c>
      <c r="G769">
        <v>0</v>
      </c>
      <c r="H769" t="s">
        <v>16</v>
      </c>
      <c r="I769" t="s">
        <v>13</v>
      </c>
      <c r="J769">
        <v>19</v>
      </c>
    </row>
    <row r="770" spans="1:10" x14ac:dyDescent="0.25">
      <c r="A770" t="s">
        <v>792</v>
      </c>
      <c r="B770" t="s">
        <v>43</v>
      </c>
      <c r="C770" s="1">
        <v>45358</v>
      </c>
      <c r="D770">
        <v>103781</v>
      </c>
      <c r="E770">
        <v>468</v>
      </c>
      <c r="F770">
        <v>0.33</v>
      </c>
      <c r="G770">
        <v>2</v>
      </c>
      <c r="H770" t="s">
        <v>19</v>
      </c>
      <c r="I770" t="s">
        <v>23</v>
      </c>
      <c r="J770">
        <v>30</v>
      </c>
    </row>
    <row r="771" spans="1:10" x14ac:dyDescent="0.25">
      <c r="A771" t="s">
        <v>793</v>
      </c>
      <c r="B771" t="s">
        <v>21</v>
      </c>
      <c r="C771" s="1">
        <v>45759</v>
      </c>
      <c r="D771">
        <v>73631</v>
      </c>
      <c r="E771">
        <v>725</v>
      </c>
      <c r="F771">
        <v>0.21</v>
      </c>
      <c r="G771">
        <v>0</v>
      </c>
      <c r="H771" t="s">
        <v>22</v>
      </c>
      <c r="I771" t="s">
        <v>13</v>
      </c>
      <c r="J771">
        <v>16</v>
      </c>
    </row>
    <row r="772" spans="1:10" x14ac:dyDescent="0.25">
      <c r="A772" t="s">
        <v>794</v>
      </c>
      <c r="B772" t="s">
        <v>11</v>
      </c>
      <c r="C772" s="1">
        <v>45539</v>
      </c>
      <c r="D772">
        <v>9358</v>
      </c>
      <c r="E772">
        <v>465</v>
      </c>
      <c r="F772">
        <v>0.32</v>
      </c>
      <c r="G772">
        <v>0</v>
      </c>
      <c r="H772" t="s">
        <v>19</v>
      </c>
      <c r="I772" t="s">
        <v>13</v>
      </c>
      <c r="J772">
        <v>24</v>
      </c>
    </row>
    <row r="773" spans="1:10" x14ac:dyDescent="0.25">
      <c r="A773" t="s">
        <v>795</v>
      </c>
      <c r="B773" t="s">
        <v>21</v>
      </c>
      <c r="C773" s="1">
        <v>45800</v>
      </c>
      <c r="D773">
        <v>141734</v>
      </c>
      <c r="E773">
        <v>630</v>
      </c>
      <c r="F773">
        <v>0.21</v>
      </c>
      <c r="G773">
        <v>0</v>
      </c>
      <c r="H773" t="s">
        <v>19</v>
      </c>
      <c r="I773" t="s">
        <v>13</v>
      </c>
      <c r="J773">
        <v>15</v>
      </c>
    </row>
    <row r="774" spans="1:10" x14ac:dyDescent="0.25">
      <c r="A774" t="s">
        <v>796</v>
      </c>
      <c r="B774" t="s">
        <v>15</v>
      </c>
      <c r="C774" s="1">
        <v>45514</v>
      </c>
      <c r="D774">
        <v>49451</v>
      </c>
      <c r="E774">
        <v>738</v>
      </c>
      <c r="F774">
        <v>0.33</v>
      </c>
      <c r="G774">
        <v>0</v>
      </c>
      <c r="H774" t="s">
        <v>12</v>
      </c>
      <c r="I774" t="s">
        <v>13</v>
      </c>
      <c r="J774">
        <v>24</v>
      </c>
    </row>
    <row r="775" spans="1:10" x14ac:dyDescent="0.25">
      <c r="A775" t="s">
        <v>797</v>
      </c>
      <c r="B775" t="s">
        <v>43</v>
      </c>
      <c r="C775" s="1">
        <v>45879</v>
      </c>
      <c r="D775">
        <v>60253</v>
      </c>
      <c r="E775">
        <v>708</v>
      </c>
      <c r="F775">
        <v>0.47</v>
      </c>
      <c r="G775">
        <v>4</v>
      </c>
      <c r="H775" t="s">
        <v>22</v>
      </c>
      <c r="I775" t="s">
        <v>17</v>
      </c>
      <c r="J775">
        <v>12</v>
      </c>
    </row>
    <row r="776" spans="1:10" x14ac:dyDescent="0.25">
      <c r="A776" t="s">
        <v>798</v>
      </c>
      <c r="B776" t="s">
        <v>43</v>
      </c>
      <c r="C776" s="1">
        <v>45651</v>
      </c>
      <c r="D776">
        <v>7604</v>
      </c>
      <c r="E776">
        <v>535</v>
      </c>
      <c r="F776">
        <v>0.26</v>
      </c>
      <c r="G776">
        <v>0</v>
      </c>
      <c r="H776" t="s">
        <v>22</v>
      </c>
      <c r="I776" t="s">
        <v>13</v>
      </c>
      <c r="J776">
        <v>20</v>
      </c>
    </row>
    <row r="777" spans="1:10" x14ac:dyDescent="0.25">
      <c r="A777" t="s">
        <v>799</v>
      </c>
      <c r="B777" t="s">
        <v>11</v>
      </c>
      <c r="C777" s="1">
        <v>45532</v>
      </c>
      <c r="D777">
        <v>36243</v>
      </c>
      <c r="E777">
        <v>9999</v>
      </c>
      <c r="F777">
        <v>0.17</v>
      </c>
      <c r="G777">
        <v>0</v>
      </c>
      <c r="H777" t="s">
        <v>12</v>
      </c>
      <c r="I777" t="s">
        <v>23</v>
      </c>
      <c r="J777">
        <v>24</v>
      </c>
    </row>
    <row r="778" spans="1:10" x14ac:dyDescent="0.25">
      <c r="A778" t="s">
        <v>800</v>
      </c>
      <c r="B778" t="s">
        <v>21</v>
      </c>
      <c r="C778" s="1">
        <v>45485</v>
      </c>
      <c r="D778">
        <v>59802</v>
      </c>
      <c r="E778">
        <v>710</v>
      </c>
      <c r="F778">
        <v>0.54</v>
      </c>
      <c r="G778">
        <v>0</v>
      </c>
      <c r="H778" t="s">
        <v>19</v>
      </c>
      <c r="I778" t="s">
        <v>13</v>
      </c>
      <c r="J778">
        <v>25</v>
      </c>
    </row>
    <row r="779" spans="1:10" x14ac:dyDescent="0.25">
      <c r="A779" t="s">
        <v>801</v>
      </c>
      <c r="B779" t="s">
        <v>15</v>
      </c>
      <c r="C779" s="1">
        <v>45527</v>
      </c>
      <c r="D779">
        <v>140822</v>
      </c>
      <c r="E779">
        <v>670</v>
      </c>
      <c r="F779">
        <v>0.16</v>
      </c>
      <c r="G779">
        <v>3</v>
      </c>
      <c r="H779" t="s">
        <v>16</v>
      </c>
      <c r="I779" t="s">
        <v>23</v>
      </c>
      <c r="J779">
        <v>24</v>
      </c>
    </row>
    <row r="780" spans="1:10" x14ac:dyDescent="0.25">
      <c r="A780" t="s">
        <v>802</v>
      </c>
      <c r="B780" t="s">
        <v>15</v>
      </c>
      <c r="C780" s="1">
        <v>45372</v>
      </c>
      <c r="D780">
        <v>46067</v>
      </c>
      <c r="E780">
        <v>704</v>
      </c>
      <c r="F780">
        <v>0.15</v>
      </c>
      <c r="G780">
        <v>0</v>
      </c>
      <c r="H780" t="s">
        <v>19</v>
      </c>
      <c r="I780" t="s">
        <v>13</v>
      </c>
      <c r="J780">
        <v>29</v>
      </c>
    </row>
    <row r="781" spans="1:10" x14ac:dyDescent="0.25">
      <c r="A781" t="s">
        <v>803</v>
      </c>
      <c r="B781" t="s">
        <v>11</v>
      </c>
      <c r="C781" s="1">
        <v>45830</v>
      </c>
      <c r="D781">
        <v>40283</v>
      </c>
      <c r="E781">
        <v>668</v>
      </c>
      <c r="F781">
        <v>0.25</v>
      </c>
      <c r="G781">
        <v>0</v>
      </c>
      <c r="H781" t="s">
        <v>12</v>
      </c>
      <c r="I781" t="s">
        <v>23</v>
      </c>
      <c r="J781">
        <v>14</v>
      </c>
    </row>
    <row r="782" spans="1:10" x14ac:dyDescent="0.25">
      <c r="A782" t="s">
        <v>804</v>
      </c>
      <c r="B782" t="s">
        <v>21</v>
      </c>
      <c r="C782" s="1">
        <v>45548</v>
      </c>
      <c r="D782">
        <v>100219</v>
      </c>
      <c r="E782">
        <v>586</v>
      </c>
      <c r="F782">
        <v>0.2</v>
      </c>
      <c r="G782">
        <v>0</v>
      </c>
      <c r="H782" t="s">
        <v>27</v>
      </c>
      <c r="I782" t="s">
        <v>13</v>
      </c>
      <c r="J782">
        <v>23</v>
      </c>
    </row>
    <row r="783" spans="1:10" x14ac:dyDescent="0.25">
      <c r="A783" t="s">
        <v>805</v>
      </c>
      <c r="B783" t="s">
        <v>15</v>
      </c>
      <c r="C783" s="1">
        <v>45599</v>
      </c>
      <c r="D783">
        <v>91480</v>
      </c>
      <c r="E783">
        <v>580</v>
      </c>
      <c r="F783">
        <v>0.26</v>
      </c>
      <c r="G783">
        <v>2</v>
      </c>
      <c r="H783" t="s">
        <v>19</v>
      </c>
      <c r="I783" t="s">
        <v>17</v>
      </c>
      <c r="J783">
        <v>22</v>
      </c>
    </row>
    <row r="784" spans="1:10" x14ac:dyDescent="0.25">
      <c r="A784" t="s">
        <v>806</v>
      </c>
      <c r="B784" t="s">
        <v>21</v>
      </c>
      <c r="C784" s="1">
        <v>45876</v>
      </c>
      <c r="D784">
        <v>92839</v>
      </c>
      <c r="E784">
        <v>710</v>
      </c>
      <c r="F784">
        <v>0.39</v>
      </c>
      <c r="G784">
        <v>0</v>
      </c>
      <c r="H784" t="s">
        <v>19</v>
      </c>
      <c r="I784" t="s">
        <v>13</v>
      </c>
      <c r="J784">
        <v>13</v>
      </c>
    </row>
    <row r="785" spans="1:10" x14ac:dyDescent="0.25">
      <c r="A785" t="s">
        <v>807</v>
      </c>
      <c r="B785" t="s">
        <v>21</v>
      </c>
      <c r="C785" s="1">
        <v>45795</v>
      </c>
      <c r="D785">
        <v>31439</v>
      </c>
      <c r="E785">
        <v>520</v>
      </c>
      <c r="F785">
        <v>0.3</v>
      </c>
      <c r="G785">
        <v>0</v>
      </c>
      <c r="H785" t="s">
        <v>27</v>
      </c>
      <c r="I785" t="s">
        <v>13</v>
      </c>
      <c r="J785">
        <v>15</v>
      </c>
    </row>
    <row r="786" spans="1:10" x14ac:dyDescent="0.25">
      <c r="A786" t="s">
        <v>808</v>
      </c>
      <c r="B786" t="s">
        <v>15</v>
      </c>
      <c r="C786" s="1">
        <v>45816</v>
      </c>
      <c r="D786">
        <v>60958</v>
      </c>
      <c r="E786">
        <v>508</v>
      </c>
      <c r="F786">
        <v>0.64</v>
      </c>
      <c r="G786">
        <v>0</v>
      </c>
      <c r="H786" t="s">
        <v>27</v>
      </c>
      <c r="I786" t="s">
        <v>13</v>
      </c>
      <c r="J786">
        <v>15</v>
      </c>
    </row>
    <row r="787" spans="1:10" x14ac:dyDescent="0.25">
      <c r="A787" t="s">
        <v>809</v>
      </c>
      <c r="B787" t="s">
        <v>21</v>
      </c>
      <c r="C787" s="1">
        <v>45649</v>
      </c>
      <c r="D787">
        <v>58289</v>
      </c>
      <c r="E787">
        <v>631</v>
      </c>
      <c r="F787">
        <v>0.47</v>
      </c>
      <c r="G787">
        <v>3</v>
      </c>
      <c r="H787" t="s">
        <v>22</v>
      </c>
      <c r="I787" t="s">
        <v>17</v>
      </c>
      <c r="J787">
        <v>20</v>
      </c>
    </row>
    <row r="788" spans="1:10" x14ac:dyDescent="0.25">
      <c r="A788" t="s">
        <v>810</v>
      </c>
      <c r="B788" t="s">
        <v>43</v>
      </c>
      <c r="C788" s="1">
        <v>45729</v>
      </c>
      <c r="D788">
        <v>96585</v>
      </c>
      <c r="E788">
        <v>451</v>
      </c>
      <c r="F788">
        <v>0.51</v>
      </c>
      <c r="G788">
        <v>6</v>
      </c>
      <c r="H788" t="s">
        <v>22</v>
      </c>
      <c r="I788" t="s">
        <v>89</v>
      </c>
      <c r="J788">
        <v>17</v>
      </c>
    </row>
    <row r="789" spans="1:10" x14ac:dyDescent="0.25">
      <c r="A789" t="s">
        <v>811</v>
      </c>
      <c r="B789" t="s">
        <v>15</v>
      </c>
      <c r="C789" s="1">
        <v>45937</v>
      </c>
      <c r="D789">
        <v>77768</v>
      </c>
      <c r="E789">
        <v>773</v>
      </c>
      <c r="F789">
        <v>0.45</v>
      </c>
      <c r="G789">
        <v>0</v>
      </c>
      <c r="H789" t="s">
        <v>41</v>
      </c>
      <c r="I789" t="s">
        <v>13</v>
      </c>
      <c r="J789">
        <v>11</v>
      </c>
    </row>
    <row r="790" spans="1:10" x14ac:dyDescent="0.25">
      <c r="A790" t="s">
        <v>812</v>
      </c>
      <c r="B790" t="s">
        <v>21</v>
      </c>
      <c r="C790" s="1">
        <v>45978</v>
      </c>
      <c r="D790">
        <v>29428</v>
      </c>
      <c r="E790">
        <v>560</v>
      </c>
      <c r="F790">
        <v>0.43</v>
      </c>
      <c r="G790">
        <v>5</v>
      </c>
      <c r="H790" t="s">
        <v>19</v>
      </c>
      <c r="I790" t="s">
        <v>23</v>
      </c>
      <c r="J790">
        <v>9</v>
      </c>
    </row>
    <row r="791" spans="1:10" x14ac:dyDescent="0.25">
      <c r="A791" t="s">
        <v>813</v>
      </c>
      <c r="B791" t="s">
        <v>21</v>
      </c>
      <c r="C791" s="1">
        <v>45468</v>
      </c>
      <c r="D791">
        <v>40850</v>
      </c>
      <c r="E791">
        <v>498</v>
      </c>
      <c r="F791">
        <v>0.35</v>
      </c>
      <c r="G791">
        <v>0</v>
      </c>
      <c r="H791" t="s">
        <v>12</v>
      </c>
      <c r="I791" t="s">
        <v>13</v>
      </c>
      <c r="J791">
        <v>26</v>
      </c>
    </row>
    <row r="792" spans="1:10" x14ac:dyDescent="0.25">
      <c r="A792" t="s">
        <v>814</v>
      </c>
      <c r="B792" t="s">
        <v>15</v>
      </c>
      <c r="C792" s="1">
        <v>45471</v>
      </c>
      <c r="D792">
        <v>57825</v>
      </c>
      <c r="E792">
        <v>763</v>
      </c>
      <c r="F792">
        <v>0.33</v>
      </c>
      <c r="G792">
        <v>0</v>
      </c>
      <c r="H792" t="s">
        <v>22</v>
      </c>
      <c r="I792" t="s">
        <v>13</v>
      </c>
      <c r="J792">
        <v>26</v>
      </c>
    </row>
    <row r="793" spans="1:10" x14ac:dyDescent="0.25">
      <c r="A793" t="s">
        <v>815</v>
      </c>
      <c r="B793" t="s">
        <v>21</v>
      </c>
      <c r="C793" s="1">
        <v>45733</v>
      </c>
      <c r="D793">
        <v>110798</v>
      </c>
      <c r="E793">
        <v>729</v>
      </c>
      <c r="F793">
        <v>0.5</v>
      </c>
      <c r="G793">
        <v>0</v>
      </c>
      <c r="H793" t="s">
        <v>19</v>
      </c>
      <c r="I793" t="s">
        <v>13</v>
      </c>
      <c r="J793">
        <v>17</v>
      </c>
    </row>
    <row r="794" spans="1:10" x14ac:dyDescent="0.25">
      <c r="A794" t="s">
        <v>816</v>
      </c>
      <c r="B794" t="s">
        <v>11</v>
      </c>
      <c r="C794" s="1">
        <v>45685</v>
      </c>
      <c r="D794">
        <v>58194</v>
      </c>
      <c r="E794">
        <v>762</v>
      </c>
      <c r="F794">
        <v>0.18</v>
      </c>
      <c r="G794">
        <v>0</v>
      </c>
      <c r="H794" t="s">
        <v>12</v>
      </c>
      <c r="I794" t="s">
        <v>13</v>
      </c>
      <c r="J794">
        <v>19</v>
      </c>
    </row>
    <row r="795" spans="1:10" x14ac:dyDescent="0.25">
      <c r="A795" t="s">
        <v>817</v>
      </c>
      <c r="B795" t="s">
        <v>11</v>
      </c>
      <c r="C795" s="1">
        <v>45869</v>
      </c>
      <c r="D795">
        <v>44939</v>
      </c>
      <c r="E795">
        <v>708</v>
      </c>
      <c r="F795">
        <v>0.19</v>
      </c>
      <c r="G795">
        <v>0</v>
      </c>
      <c r="H795" t="s">
        <v>16</v>
      </c>
      <c r="I795" t="s">
        <v>13</v>
      </c>
      <c r="J795">
        <v>13</v>
      </c>
    </row>
    <row r="796" spans="1:10" x14ac:dyDescent="0.25">
      <c r="A796" t="s">
        <v>818</v>
      </c>
      <c r="B796" t="s">
        <v>43</v>
      </c>
      <c r="C796" s="1">
        <v>45410</v>
      </c>
      <c r="D796">
        <v>134564</v>
      </c>
      <c r="E796">
        <v>489</v>
      </c>
      <c r="F796">
        <v>0.46</v>
      </c>
      <c r="G796">
        <v>2</v>
      </c>
      <c r="H796" t="s">
        <v>27</v>
      </c>
      <c r="I796" t="s">
        <v>89</v>
      </c>
      <c r="J796">
        <v>28</v>
      </c>
    </row>
    <row r="797" spans="1:10" x14ac:dyDescent="0.25">
      <c r="A797" t="s">
        <v>819</v>
      </c>
      <c r="B797" t="s">
        <v>21</v>
      </c>
      <c r="C797" s="1">
        <v>45692</v>
      </c>
      <c r="D797">
        <v>69032</v>
      </c>
      <c r="E797">
        <v>694</v>
      </c>
      <c r="F797">
        <v>0.59</v>
      </c>
      <c r="G797">
        <v>0</v>
      </c>
      <c r="H797" t="s">
        <v>27</v>
      </c>
      <c r="I797" t="s">
        <v>17</v>
      </c>
      <c r="J797">
        <v>19</v>
      </c>
    </row>
    <row r="798" spans="1:10" x14ac:dyDescent="0.25">
      <c r="A798" t="s">
        <v>820</v>
      </c>
      <c r="B798" t="s">
        <v>43</v>
      </c>
      <c r="C798" s="1">
        <v>45765</v>
      </c>
      <c r="D798">
        <v>74198</v>
      </c>
      <c r="E798">
        <v>640</v>
      </c>
      <c r="F798">
        <v>0.36</v>
      </c>
      <c r="G798">
        <v>2</v>
      </c>
      <c r="H798" t="s">
        <v>41</v>
      </c>
      <c r="I798" t="s">
        <v>23</v>
      </c>
      <c r="J798">
        <v>16</v>
      </c>
    </row>
    <row r="799" spans="1:10" x14ac:dyDescent="0.25">
      <c r="A799" t="s">
        <v>821</v>
      </c>
      <c r="B799" t="s">
        <v>15</v>
      </c>
      <c r="C799" s="1">
        <v>45773</v>
      </c>
      <c r="D799">
        <v>117969</v>
      </c>
      <c r="E799">
        <v>754</v>
      </c>
      <c r="F799">
        <v>0.46</v>
      </c>
      <c r="G799">
        <v>0</v>
      </c>
      <c r="H799" t="s">
        <v>12</v>
      </c>
      <c r="I799" t="s">
        <v>13</v>
      </c>
      <c r="J799">
        <v>16</v>
      </c>
    </row>
    <row r="800" spans="1:10" x14ac:dyDescent="0.25">
      <c r="A800" t="s">
        <v>822</v>
      </c>
      <c r="B800" t="s">
        <v>15</v>
      </c>
      <c r="C800" s="1">
        <v>45586</v>
      </c>
      <c r="D800">
        <v>31556</v>
      </c>
      <c r="E800">
        <v>758</v>
      </c>
      <c r="F800">
        <v>0.61</v>
      </c>
      <c r="G800">
        <v>0</v>
      </c>
      <c r="H800" t="s">
        <v>41</v>
      </c>
      <c r="I800" t="s">
        <v>13</v>
      </c>
      <c r="J800">
        <v>22</v>
      </c>
    </row>
    <row r="801" spans="1:10" x14ac:dyDescent="0.25">
      <c r="A801" t="s">
        <v>823</v>
      </c>
      <c r="B801" t="s">
        <v>11</v>
      </c>
      <c r="C801" s="1">
        <v>45741</v>
      </c>
      <c r="D801">
        <v>124010</v>
      </c>
      <c r="E801">
        <v>780</v>
      </c>
      <c r="F801">
        <v>0.56000000000000005</v>
      </c>
      <c r="G801">
        <v>1</v>
      </c>
      <c r="H801" t="s">
        <v>16</v>
      </c>
      <c r="I801" t="s">
        <v>23</v>
      </c>
      <c r="J801">
        <v>17</v>
      </c>
    </row>
    <row r="802" spans="1:10" x14ac:dyDescent="0.25">
      <c r="A802" t="s">
        <v>824</v>
      </c>
      <c r="B802" t="s">
        <v>15</v>
      </c>
      <c r="C802" s="1">
        <v>45877</v>
      </c>
      <c r="D802">
        <v>5436</v>
      </c>
      <c r="E802">
        <v>793</v>
      </c>
      <c r="F802">
        <v>0.27</v>
      </c>
      <c r="G802">
        <v>0</v>
      </c>
      <c r="H802" t="s">
        <v>27</v>
      </c>
      <c r="I802" t="s">
        <v>13</v>
      </c>
      <c r="J802">
        <v>13</v>
      </c>
    </row>
    <row r="803" spans="1:10" x14ac:dyDescent="0.25">
      <c r="A803" t="s">
        <v>825</v>
      </c>
      <c r="B803" t="s">
        <v>15</v>
      </c>
      <c r="C803" s="1">
        <v>45862</v>
      </c>
      <c r="D803">
        <v>14001</v>
      </c>
      <c r="E803">
        <v>747</v>
      </c>
      <c r="F803">
        <v>0.31</v>
      </c>
      <c r="G803">
        <v>0</v>
      </c>
      <c r="H803" t="s">
        <v>41</v>
      </c>
      <c r="I803" t="s">
        <v>13</v>
      </c>
      <c r="J803">
        <v>13</v>
      </c>
    </row>
    <row r="804" spans="1:10" x14ac:dyDescent="0.25">
      <c r="A804" t="s">
        <v>826</v>
      </c>
      <c r="B804" t="s">
        <v>11</v>
      </c>
      <c r="C804" s="1">
        <v>45833</v>
      </c>
      <c r="D804">
        <v>142938</v>
      </c>
      <c r="E804">
        <v>828</v>
      </c>
      <c r="F804">
        <v>0.43</v>
      </c>
      <c r="G804">
        <v>0</v>
      </c>
      <c r="H804" t="s">
        <v>19</v>
      </c>
      <c r="I804" t="s">
        <v>13</v>
      </c>
      <c r="J804">
        <v>14</v>
      </c>
    </row>
    <row r="805" spans="1:10" x14ac:dyDescent="0.25">
      <c r="A805" t="s">
        <v>827</v>
      </c>
      <c r="B805" t="s">
        <v>43</v>
      </c>
      <c r="C805" s="1">
        <v>45805</v>
      </c>
      <c r="D805">
        <v>94281</v>
      </c>
      <c r="E805">
        <v>815</v>
      </c>
      <c r="F805">
        <v>0.46</v>
      </c>
      <c r="G805">
        <v>0</v>
      </c>
      <c r="H805" t="s">
        <v>22</v>
      </c>
      <c r="I805" t="s">
        <v>13</v>
      </c>
      <c r="J805">
        <v>15</v>
      </c>
    </row>
    <row r="806" spans="1:10" x14ac:dyDescent="0.25">
      <c r="A806" t="s">
        <v>828</v>
      </c>
      <c r="B806" t="s">
        <v>11</v>
      </c>
      <c r="C806" s="1">
        <v>45320</v>
      </c>
      <c r="D806">
        <v>144692</v>
      </c>
      <c r="E806">
        <v>771</v>
      </c>
      <c r="F806">
        <v>0.62</v>
      </c>
      <c r="G806">
        <v>0</v>
      </c>
      <c r="H806" t="s">
        <v>22</v>
      </c>
      <c r="I806" t="s">
        <v>13</v>
      </c>
      <c r="J806">
        <v>31</v>
      </c>
    </row>
    <row r="807" spans="1:10" x14ac:dyDescent="0.25">
      <c r="A807" t="s">
        <v>829</v>
      </c>
      <c r="B807" t="s">
        <v>15</v>
      </c>
      <c r="C807" s="1">
        <v>45339</v>
      </c>
      <c r="D807">
        <v>47688</v>
      </c>
      <c r="E807">
        <v>505</v>
      </c>
      <c r="F807">
        <v>0.55000000000000004</v>
      </c>
      <c r="G807">
        <v>3</v>
      </c>
      <c r="H807" t="s">
        <v>22</v>
      </c>
      <c r="I807" t="s">
        <v>23</v>
      </c>
      <c r="J807">
        <v>30</v>
      </c>
    </row>
    <row r="808" spans="1:10" x14ac:dyDescent="0.25">
      <c r="A808" t="s">
        <v>830</v>
      </c>
      <c r="B808" t="s">
        <v>21</v>
      </c>
      <c r="C808" s="1">
        <v>45622</v>
      </c>
      <c r="D808">
        <v>28093</v>
      </c>
      <c r="E808">
        <v>591</v>
      </c>
      <c r="F808">
        <v>0.65</v>
      </c>
      <c r="G808">
        <v>6</v>
      </c>
      <c r="H808" t="s">
        <v>22</v>
      </c>
      <c r="I808" t="s">
        <v>23</v>
      </c>
      <c r="J808">
        <v>21</v>
      </c>
    </row>
    <row r="809" spans="1:10" x14ac:dyDescent="0.25">
      <c r="A809" t="s">
        <v>831</v>
      </c>
      <c r="B809" t="s">
        <v>15</v>
      </c>
      <c r="C809" s="1">
        <v>45624</v>
      </c>
      <c r="D809">
        <v>31865</v>
      </c>
      <c r="E809">
        <v>0</v>
      </c>
      <c r="F809">
        <v>0.59</v>
      </c>
      <c r="G809">
        <v>3</v>
      </c>
      <c r="H809" t="s">
        <v>12</v>
      </c>
      <c r="I809" t="s">
        <v>89</v>
      </c>
      <c r="J809">
        <v>21</v>
      </c>
    </row>
    <row r="810" spans="1:10" x14ac:dyDescent="0.25">
      <c r="A810" t="s">
        <v>832</v>
      </c>
      <c r="B810" t="s">
        <v>11</v>
      </c>
      <c r="C810" s="1">
        <v>45686</v>
      </c>
      <c r="D810">
        <v>102705</v>
      </c>
      <c r="E810">
        <v>834</v>
      </c>
      <c r="F810">
        <v>0.44</v>
      </c>
      <c r="G810">
        <v>4</v>
      </c>
      <c r="H810" t="s">
        <v>16</v>
      </c>
      <c r="I810" t="s">
        <v>23</v>
      </c>
      <c r="J810">
        <v>19</v>
      </c>
    </row>
    <row r="811" spans="1:10" x14ac:dyDescent="0.25">
      <c r="A811" t="s">
        <v>833</v>
      </c>
      <c r="B811" t="s">
        <v>43</v>
      </c>
      <c r="C811" s="1">
        <v>45829</v>
      </c>
      <c r="D811">
        <v>148824</v>
      </c>
      <c r="E811">
        <v>698</v>
      </c>
      <c r="F811">
        <v>0.65</v>
      </c>
      <c r="G811">
        <v>0</v>
      </c>
      <c r="H811" t="s">
        <v>22</v>
      </c>
      <c r="I811" t="s">
        <v>13</v>
      </c>
      <c r="J811">
        <v>14</v>
      </c>
    </row>
    <row r="812" spans="1:10" x14ac:dyDescent="0.25">
      <c r="A812" t="s">
        <v>834</v>
      </c>
      <c r="B812" t="s">
        <v>11</v>
      </c>
      <c r="C812" s="1">
        <v>45559</v>
      </c>
      <c r="D812">
        <v>38048</v>
      </c>
      <c r="E812">
        <v>687</v>
      </c>
      <c r="F812">
        <v>0.28000000000000003</v>
      </c>
      <c r="G812">
        <v>0</v>
      </c>
      <c r="H812" t="s">
        <v>27</v>
      </c>
      <c r="I812" t="s">
        <v>13</v>
      </c>
      <c r="J812">
        <v>23</v>
      </c>
    </row>
    <row r="813" spans="1:10" x14ac:dyDescent="0.25">
      <c r="A813" t="s">
        <v>835</v>
      </c>
      <c r="B813" t="s">
        <v>43</v>
      </c>
      <c r="C813" s="1">
        <v>45846</v>
      </c>
      <c r="D813">
        <v>72808</v>
      </c>
      <c r="E813">
        <v>703</v>
      </c>
      <c r="F813">
        <v>0.22</v>
      </c>
      <c r="G813">
        <v>5</v>
      </c>
      <c r="H813" t="s">
        <v>12</v>
      </c>
      <c r="I813" t="s">
        <v>17</v>
      </c>
      <c r="J813">
        <v>14</v>
      </c>
    </row>
    <row r="814" spans="1:10" x14ac:dyDescent="0.25">
      <c r="A814" t="s">
        <v>836</v>
      </c>
      <c r="B814" t="s">
        <v>43</v>
      </c>
      <c r="C814" s="1">
        <v>45506</v>
      </c>
      <c r="D814">
        <v>109799</v>
      </c>
      <c r="E814">
        <v>751</v>
      </c>
      <c r="F814">
        <v>0.41</v>
      </c>
      <c r="G814">
        <v>0</v>
      </c>
      <c r="H814" t="s">
        <v>41</v>
      </c>
      <c r="I814" t="s">
        <v>13</v>
      </c>
      <c r="J814">
        <v>25</v>
      </c>
    </row>
    <row r="815" spans="1:10" x14ac:dyDescent="0.25">
      <c r="A815" t="s">
        <v>837</v>
      </c>
      <c r="B815" t="s">
        <v>43</v>
      </c>
      <c r="C815" s="1">
        <v>45931</v>
      </c>
      <c r="D815">
        <v>8650</v>
      </c>
      <c r="E815">
        <v>758</v>
      </c>
      <c r="F815">
        <v>0.38</v>
      </c>
      <c r="G815">
        <v>0</v>
      </c>
      <c r="H815" t="s">
        <v>16</v>
      </c>
      <c r="I815" t="s">
        <v>13</v>
      </c>
      <c r="J815">
        <v>11</v>
      </c>
    </row>
    <row r="816" spans="1:10" x14ac:dyDescent="0.25">
      <c r="A816" t="s">
        <v>838</v>
      </c>
      <c r="B816" t="s">
        <v>21</v>
      </c>
      <c r="C816" s="1">
        <v>45780</v>
      </c>
      <c r="D816">
        <v>100302</v>
      </c>
      <c r="E816">
        <v>544</v>
      </c>
      <c r="F816">
        <v>0.17</v>
      </c>
      <c r="G816">
        <v>2</v>
      </c>
      <c r="H816" t="s">
        <v>41</v>
      </c>
      <c r="I816" t="s">
        <v>23</v>
      </c>
      <c r="J816">
        <v>16</v>
      </c>
    </row>
    <row r="817" spans="1:10" x14ac:dyDescent="0.25">
      <c r="A817" t="s">
        <v>839</v>
      </c>
      <c r="B817" t="s">
        <v>15</v>
      </c>
      <c r="C817" s="1">
        <v>45949</v>
      </c>
      <c r="D817">
        <v>37090</v>
      </c>
      <c r="E817">
        <v>562</v>
      </c>
      <c r="F817">
        <v>0.62</v>
      </c>
      <c r="G817">
        <v>6</v>
      </c>
      <c r="H817" t="s">
        <v>12</v>
      </c>
      <c r="I817" t="s">
        <v>89</v>
      </c>
      <c r="J817">
        <v>10</v>
      </c>
    </row>
    <row r="818" spans="1:10" x14ac:dyDescent="0.25">
      <c r="A818" t="s">
        <v>840</v>
      </c>
      <c r="B818" t="s">
        <v>15</v>
      </c>
      <c r="C818" s="1">
        <v>45739</v>
      </c>
      <c r="D818">
        <v>123335</v>
      </c>
      <c r="E818">
        <v>482</v>
      </c>
      <c r="F818">
        <v>0.55000000000000004</v>
      </c>
      <c r="G818">
        <v>1</v>
      </c>
      <c r="H818" t="s">
        <v>22</v>
      </c>
      <c r="I818" t="s">
        <v>89</v>
      </c>
      <c r="J818">
        <v>17</v>
      </c>
    </row>
    <row r="819" spans="1:10" x14ac:dyDescent="0.25">
      <c r="A819" t="s">
        <v>841</v>
      </c>
      <c r="B819" t="s">
        <v>15</v>
      </c>
      <c r="C819" s="1">
        <v>45944</v>
      </c>
      <c r="D819">
        <v>90259</v>
      </c>
      <c r="E819">
        <v>520</v>
      </c>
      <c r="F819">
        <v>0.22</v>
      </c>
      <c r="G819">
        <v>0</v>
      </c>
      <c r="H819" t="s">
        <v>19</v>
      </c>
      <c r="I819" t="s">
        <v>13</v>
      </c>
      <c r="J819">
        <v>10</v>
      </c>
    </row>
    <row r="820" spans="1:10" x14ac:dyDescent="0.25">
      <c r="A820" t="s">
        <v>842</v>
      </c>
      <c r="B820" t="s">
        <v>15</v>
      </c>
      <c r="C820" s="1">
        <v>45324</v>
      </c>
      <c r="D820">
        <v>51006</v>
      </c>
      <c r="E820">
        <v>662</v>
      </c>
      <c r="F820">
        <v>0.28000000000000003</v>
      </c>
      <c r="G820">
        <v>0</v>
      </c>
      <c r="H820" t="s">
        <v>16</v>
      </c>
      <c r="I820" t="s">
        <v>13</v>
      </c>
      <c r="J820">
        <v>31</v>
      </c>
    </row>
    <row r="821" spans="1:10" x14ac:dyDescent="0.25">
      <c r="A821" t="s">
        <v>843</v>
      </c>
      <c r="B821" t="s">
        <v>11</v>
      </c>
      <c r="C821" s="1">
        <v>45516</v>
      </c>
      <c r="D821">
        <v>113419</v>
      </c>
      <c r="E821">
        <v>717</v>
      </c>
      <c r="F821">
        <v>0.3</v>
      </c>
      <c r="G821">
        <v>0</v>
      </c>
      <c r="H821" t="s">
        <v>19</v>
      </c>
      <c r="I821" t="s">
        <v>13</v>
      </c>
      <c r="J821">
        <v>24</v>
      </c>
    </row>
    <row r="822" spans="1:10" x14ac:dyDescent="0.25">
      <c r="A822" t="s">
        <v>844</v>
      </c>
      <c r="B822" t="s">
        <v>21</v>
      </c>
      <c r="C822" s="1">
        <v>45936</v>
      </c>
      <c r="D822">
        <v>7954</v>
      </c>
      <c r="E822">
        <v>680</v>
      </c>
      <c r="F822">
        <v>0.56999999999999995</v>
      </c>
      <c r="G822">
        <v>0</v>
      </c>
      <c r="H822" t="s">
        <v>22</v>
      </c>
      <c r="I822" t="s">
        <v>13</v>
      </c>
      <c r="J822">
        <v>11</v>
      </c>
    </row>
    <row r="823" spans="1:10" x14ac:dyDescent="0.25">
      <c r="A823" t="s">
        <v>845</v>
      </c>
      <c r="B823" t="s">
        <v>21</v>
      </c>
      <c r="C823" s="1">
        <v>45703</v>
      </c>
      <c r="D823">
        <v>50819</v>
      </c>
      <c r="E823">
        <v>621</v>
      </c>
      <c r="F823">
        <v>0.18</v>
      </c>
      <c r="G823">
        <v>5</v>
      </c>
      <c r="H823" t="s">
        <v>19</v>
      </c>
      <c r="I823" t="s">
        <v>17</v>
      </c>
      <c r="J823">
        <v>18</v>
      </c>
    </row>
    <row r="824" spans="1:10" x14ac:dyDescent="0.25">
      <c r="A824" t="s">
        <v>846</v>
      </c>
      <c r="B824" t="s">
        <v>15</v>
      </c>
      <c r="C824" s="1">
        <v>45814</v>
      </c>
      <c r="D824">
        <v>43908</v>
      </c>
      <c r="E824">
        <v>563</v>
      </c>
      <c r="F824">
        <v>0.6</v>
      </c>
      <c r="G824">
        <v>0</v>
      </c>
      <c r="H824" t="s">
        <v>41</v>
      </c>
      <c r="I824" t="s">
        <v>13</v>
      </c>
      <c r="J824">
        <v>15</v>
      </c>
    </row>
    <row r="825" spans="1:10" x14ac:dyDescent="0.25">
      <c r="A825" t="s">
        <v>847</v>
      </c>
      <c r="B825" t="s">
        <v>43</v>
      </c>
      <c r="C825" s="1">
        <v>45806</v>
      </c>
      <c r="D825">
        <v>88286</v>
      </c>
      <c r="E825">
        <v>547</v>
      </c>
      <c r="F825">
        <v>0.56999999999999995</v>
      </c>
      <c r="G825">
        <v>0</v>
      </c>
      <c r="H825" t="s">
        <v>19</v>
      </c>
      <c r="I825" t="s">
        <v>13</v>
      </c>
      <c r="J825">
        <v>15</v>
      </c>
    </row>
    <row r="826" spans="1:10" x14ac:dyDescent="0.25">
      <c r="A826" t="s">
        <v>848</v>
      </c>
      <c r="B826" t="s">
        <v>15</v>
      </c>
      <c r="C826" s="1">
        <v>45739</v>
      </c>
      <c r="D826">
        <v>73990</v>
      </c>
      <c r="E826">
        <v>545</v>
      </c>
      <c r="F826">
        <v>0.5</v>
      </c>
      <c r="G826">
        <v>2</v>
      </c>
      <c r="H826" t="s">
        <v>12</v>
      </c>
      <c r="I826" t="s">
        <v>23</v>
      </c>
      <c r="J826">
        <v>17</v>
      </c>
    </row>
    <row r="827" spans="1:10" x14ac:dyDescent="0.25">
      <c r="A827" t="s">
        <v>849</v>
      </c>
      <c r="B827" t="s">
        <v>15</v>
      </c>
      <c r="C827" s="1">
        <v>45576</v>
      </c>
      <c r="D827">
        <v>68347</v>
      </c>
      <c r="E827">
        <v>568</v>
      </c>
      <c r="F827">
        <v>0.5</v>
      </c>
      <c r="G827">
        <v>0</v>
      </c>
      <c r="H827" t="s">
        <v>16</v>
      </c>
      <c r="I827" t="s">
        <v>13</v>
      </c>
      <c r="J827">
        <v>22</v>
      </c>
    </row>
    <row r="828" spans="1:10" x14ac:dyDescent="0.25">
      <c r="A828" t="s">
        <v>850</v>
      </c>
      <c r="B828" t="s">
        <v>43</v>
      </c>
      <c r="C828" s="1">
        <v>45843</v>
      </c>
      <c r="D828">
        <v>29015</v>
      </c>
      <c r="E828">
        <v>622</v>
      </c>
      <c r="F828">
        <v>0.63</v>
      </c>
      <c r="G828">
        <v>6</v>
      </c>
      <c r="H828" t="s">
        <v>41</v>
      </c>
      <c r="I828" t="s">
        <v>23</v>
      </c>
      <c r="J828">
        <v>14</v>
      </c>
    </row>
    <row r="829" spans="1:10" x14ac:dyDescent="0.25">
      <c r="A829" t="s">
        <v>851</v>
      </c>
      <c r="B829" t="s">
        <v>15</v>
      </c>
      <c r="C829" s="1">
        <v>45441</v>
      </c>
      <c r="D829">
        <v>68492</v>
      </c>
      <c r="E829">
        <v>842</v>
      </c>
      <c r="F829">
        <v>0.33</v>
      </c>
      <c r="G829">
        <v>0</v>
      </c>
      <c r="H829" t="s">
        <v>19</v>
      </c>
      <c r="I829" t="s">
        <v>13</v>
      </c>
      <c r="J829">
        <v>27</v>
      </c>
    </row>
    <row r="830" spans="1:10" x14ac:dyDescent="0.25">
      <c r="A830" t="s">
        <v>852</v>
      </c>
      <c r="B830" t="s">
        <v>21</v>
      </c>
      <c r="C830" s="1">
        <v>45963</v>
      </c>
      <c r="D830">
        <v>61590</v>
      </c>
      <c r="E830">
        <v>553</v>
      </c>
      <c r="F830">
        <v>0.23</v>
      </c>
      <c r="G830">
        <v>0</v>
      </c>
      <c r="H830" t="s">
        <v>41</v>
      </c>
      <c r="I830" t="s">
        <v>13</v>
      </c>
      <c r="J830">
        <v>10</v>
      </c>
    </row>
    <row r="831" spans="1:10" x14ac:dyDescent="0.25">
      <c r="A831" t="s">
        <v>853</v>
      </c>
      <c r="B831" t="s">
        <v>21</v>
      </c>
      <c r="C831" s="1">
        <v>45732</v>
      </c>
      <c r="D831">
        <v>99089</v>
      </c>
      <c r="E831">
        <v>613</v>
      </c>
      <c r="F831">
        <v>0.41</v>
      </c>
      <c r="G831">
        <v>0</v>
      </c>
      <c r="H831" t="s">
        <v>19</v>
      </c>
      <c r="I831" t="s">
        <v>13</v>
      </c>
      <c r="J831">
        <v>17</v>
      </c>
    </row>
    <row r="832" spans="1:10" x14ac:dyDescent="0.25">
      <c r="A832" t="s">
        <v>854</v>
      </c>
      <c r="B832" t="s">
        <v>15</v>
      </c>
      <c r="C832" s="1">
        <v>45717</v>
      </c>
      <c r="D832">
        <v>136677</v>
      </c>
      <c r="E832">
        <v>611</v>
      </c>
      <c r="F832">
        <v>0.63</v>
      </c>
      <c r="G832">
        <v>0</v>
      </c>
      <c r="H832" t="s">
        <v>12</v>
      </c>
      <c r="I832" t="s">
        <v>13</v>
      </c>
      <c r="J832">
        <v>18</v>
      </c>
    </row>
    <row r="833" spans="1:10" x14ac:dyDescent="0.25">
      <c r="A833" t="s">
        <v>855</v>
      </c>
      <c r="B833" t="s">
        <v>21</v>
      </c>
      <c r="C833" s="1">
        <v>45509</v>
      </c>
      <c r="D833">
        <v>51330</v>
      </c>
      <c r="E833">
        <v>736</v>
      </c>
      <c r="F833">
        <v>0.4</v>
      </c>
      <c r="G833">
        <v>5</v>
      </c>
      <c r="H833" t="s">
        <v>16</v>
      </c>
      <c r="I833" t="s">
        <v>17</v>
      </c>
      <c r="J833">
        <v>25</v>
      </c>
    </row>
    <row r="834" spans="1:10" x14ac:dyDescent="0.25">
      <c r="A834" t="s">
        <v>856</v>
      </c>
      <c r="B834" t="s">
        <v>43</v>
      </c>
      <c r="C834" s="1">
        <v>45393</v>
      </c>
      <c r="D834">
        <v>86685</v>
      </c>
      <c r="E834">
        <v>732</v>
      </c>
      <c r="F834">
        <v>0.19</v>
      </c>
      <c r="G834">
        <v>3</v>
      </c>
      <c r="H834" t="s">
        <v>19</v>
      </c>
      <c r="I834" t="s">
        <v>17</v>
      </c>
      <c r="J834">
        <v>28</v>
      </c>
    </row>
    <row r="835" spans="1:10" x14ac:dyDescent="0.25">
      <c r="A835" t="s">
        <v>857</v>
      </c>
      <c r="B835" t="s">
        <v>15</v>
      </c>
      <c r="C835" s="1">
        <v>45351</v>
      </c>
      <c r="D835">
        <v>75465</v>
      </c>
      <c r="E835">
        <v>714</v>
      </c>
      <c r="F835">
        <v>0.34</v>
      </c>
      <c r="G835">
        <v>0</v>
      </c>
      <c r="H835" t="s">
        <v>27</v>
      </c>
      <c r="I835" t="s">
        <v>13</v>
      </c>
      <c r="J835">
        <v>30</v>
      </c>
    </row>
    <row r="836" spans="1:10" x14ac:dyDescent="0.25">
      <c r="A836" t="s">
        <v>858</v>
      </c>
      <c r="B836" t="s">
        <v>15</v>
      </c>
      <c r="C836" s="1">
        <v>45975</v>
      </c>
      <c r="D836">
        <v>20811</v>
      </c>
      <c r="E836">
        <v>744</v>
      </c>
      <c r="F836">
        <v>0.56999999999999995</v>
      </c>
      <c r="G836">
        <v>0</v>
      </c>
      <c r="H836" t="s">
        <v>19</v>
      </c>
      <c r="I836" t="s">
        <v>13</v>
      </c>
      <c r="J836">
        <v>9</v>
      </c>
    </row>
    <row r="837" spans="1:10" x14ac:dyDescent="0.25">
      <c r="A837" t="s">
        <v>859</v>
      </c>
      <c r="B837" t="s">
        <v>21</v>
      </c>
      <c r="C837" s="1">
        <v>45429</v>
      </c>
      <c r="D837">
        <v>121111</v>
      </c>
      <c r="E837">
        <v>598</v>
      </c>
      <c r="F837">
        <v>0.23</v>
      </c>
      <c r="G837">
        <v>0</v>
      </c>
      <c r="H837" t="s">
        <v>41</v>
      </c>
      <c r="I837" t="s">
        <v>13</v>
      </c>
      <c r="J837">
        <v>27</v>
      </c>
    </row>
    <row r="838" spans="1:10" x14ac:dyDescent="0.25">
      <c r="A838" t="s">
        <v>860</v>
      </c>
      <c r="B838" t="s">
        <v>21</v>
      </c>
      <c r="C838" s="1">
        <v>45442</v>
      </c>
      <c r="D838">
        <v>14713</v>
      </c>
      <c r="E838">
        <v>498</v>
      </c>
      <c r="F838">
        <v>0.56000000000000005</v>
      </c>
      <c r="G838">
        <v>3</v>
      </c>
      <c r="H838" t="s">
        <v>16</v>
      </c>
      <c r="I838" t="s">
        <v>23</v>
      </c>
      <c r="J838">
        <v>27</v>
      </c>
    </row>
    <row r="839" spans="1:10" x14ac:dyDescent="0.25">
      <c r="A839" t="s">
        <v>861</v>
      </c>
      <c r="B839" t="s">
        <v>21</v>
      </c>
      <c r="C839" s="1">
        <v>45489</v>
      </c>
      <c r="D839">
        <v>20421</v>
      </c>
      <c r="E839">
        <v>593</v>
      </c>
      <c r="F839">
        <v>0.39</v>
      </c>
      <c r="G839">
        <v>6</v>
      </c>
      <c r="H839" t="s">
        <v>12</v>
      </c>
      <c r="I839" t="s">
        <v>23</v>
      </c>
      <c r="J839">
        <v>25</v>
      </c>
    </row>
    <row r="840" spans="1:10" x14ac:dyDescent="0.25">
      <c r="A840" t="s">
        <v>862</v>
      </c>
      <c r="B840" t="s">
        <v>21</v>
      </c>
      <c r="C840" s="1">
        <v>45332</v>
      </c>
      <c r="D840">
        <v>95856</v>
      </c>
      <c r="E840">
        <v>633</v>
      </c>
      <c r="F840">
        <v>0.49</v>
      </c>
      <c r="G840">
        <v>0</v>
      </c>
      <c r="H840" t="s">
        <v>19</v>
      </c>
      <c r="I840" t="s">
        <v>13</v>
      </c>
      <c r="J840">
        <v>30</v>
      </c>
    </row>
    <row r="841" spans="1:10" x14ac:dyDescent="0.25">
      <c r="A841" t="s">
        <v>863</v>
      </c>
      <c r="B841" t="s">
        <v>15</v>
      </c>
      <c r="C841" s="1">
        <v>45486</v>
      </c>
      <c r="D841">
        <v>124318</v>
      </c>
      <c r="E841">
        <v>477</v>
      </c>
      <c r="F841">
        <v>0.28000000000000003</v>
      </c>
      <c r="G841">
        <v>2</v>
      </c>
      <c r="H841" t="s">
        <v>41</v>
      </c>
      <c r="I841" t="s">
        <v>23</v>
      </c>
      <c r="J841">
        <v>25</v>
      </c>
    </row>
    <row r="842" spans="1:10" x14ac:dyDescent="0.25">
      <c r="A842" t="s">
        <v>864</v>
      </c>
      <c r="B842" t="s">
        <v>15</v>
      </c>
      <c r="C842" s="1">
        <v>45689</v>
      </c>
      <c r="D842">
        <v>16926</v>
      </c>
      <c r="E842">
        <v>699</v>
      </c>
      <c r="F842">
        <v>0.65</v>
      </c>
      <c r="G842">
        <v>6</v>
      </c>
      <c r="H842" t="s">
        <v>12</v>
      </c>
      <c r="I842" t="s">
        <v>23</v>
      </c>
      <c r="J842">
        <v>19</v>
      </c>
    </row>
    <row r="843" spans="1:10" x14ac:dyDescent="0.25">
      <c r="A843" t="s">
        <v>865</v>
      </c>
      <c r="B843" t="s">
        <v>15</v>
      </c>
      <c r="C843" s="1">
        <v>45853</v>
      </c>
      <c r="D843">
        <v>24243</v>
      </c>
      <c r="E843">
        <v>450</v>
      </c>
      <c r="F843">
        <v>0.48</v>
      </c>
      <c r="G843">
        <v>0</v>
      </c>
      <c r="H843" t="s">
        <v>27</v>
      </c>
      <c r="I843" t="s">
        <v>13</v>
      </c>
      <c r="J843">
        <v>13</v>
      </c>
    </row>
    <row r="844" spans="1:10" x14ac:dyDescent="0.25">
      <c r="A844" t="s">
        <v>866</v>
      </c>
      <c r="B844" t="s">
        <v>21</v>
      </c>
      <c r="C844" s="1">
        <v>45988</v>
      </c>
      <c r="D844">
        <v>96962</v>
      </c>
      <c r="E844">
        <v>482</v>
      </c>
      <c r="F844">
        <v>0.56000000000000005</v>
      </c>
      <c r="G844">
        <v>0</v>
      </c>
      <c r="H844" t="s">
        <v>22</v>
      </c>
      <c r="I844" t="s">
        <v>23</v>
      </c>
      <c r="J844">
        <v>9</v>
      </c>
    </row>
    <row r="845" spans="1:10" x14ac:dyDescent="0.25">
      <c r="A845" t="s">
        <v>867</v>
      </c>
      <c r="B845" t="s">
        <v>11</v>
      </c>
      <c r="C845" s="1">
        <v>45653</v>
      </c>
      <c r="D845">
        <v>37874</v>
      </c>
      <c r="E845">
        <v>468</v>
      </c>
      <c r="F845">
        <v>0.21</v>
      </c>
      <c r="G845">
        <v>0</v>
      </c>
      <c r="H845" t="s">
        <v>27</v>
      </c>
      <c r="I845" t="s">
        <v>13</v>
      </c>
      <c r="J845">
        <v>20</v>
      </c>
    </row>
    <row r="846" spans="1:10" x14ac:dyDescent="0.25">
      <c r="A846" t="s">
        <v>868</v>
      </c>
      <c r="B846" t="s">
        <v>21</v>
      </c>
      <c r="C846" s="1">
        <v>45836</v>
      </c>
      <c r="D846">
        <v>84224</v>
      </c>
      <c r="E846">
        <v>691</v>
      </c>
      <c r="F846">
        <v>0.44</v>
      </c>
      <c r="G846">
        <v>5</v>
      </c>
      <c r="H846" t="s">
        <v>12</v>
      </c>
      <c r="I846" t="s">
        <v>17</v>
      </c>
      <c r="J846">
        <v>14</v>
      </c>
    </row>
    <row r="847" spans="1:10" x14ac:dyDescent="0.25">
      <c r="A847" t="s">
        <v>869</v>
      </c>
      <c r="B847" t="s">
        <v>15</v>
      </c>
      <c r="C847" s="1">
        <v>45989</v>
      </c>
      <c r="D847">
        <v>124914</v>
      </c>
      <c r="E847">
        <v>582</v>
      </c>
      <c r="F847">
        <v>0.6</v>
      </c>
      <c r="G847">
        <v>0</v>
      </c>
      <c r="H847" t="s">
        <v>12</v>
      </c>
      <c r="I847" t="s">
        <v>13</v>
      </c>
      <c r="J847">
        <v>9</v>
      </c>
    </row>
    <row r="848" spans="1:10" x14ac:dyDescent="0.25">
      <c r="A848" t="s">
        <v>870</v>
      </c>
      <c r="B848" t="s">
        <v>21</v>
      </c>
      <c r="C848" s="1">
        <v>45420</v>
      </c>
      <c r="D848">
        <v>124896</v>
      </c>
      <c r="E848">
        <v>585</v>
      </c>
      <c r="F848">
        <v>0.47</v>
      </c>
      <c r="G848">
        <v>0</v>
      </c>
      <c r="H848" t="s">
        <v>19</v>
      </c>
      <c r="I848" t="s">
        <v>13</v>
      </c>
      <c r="J848">
        <v>28</v>
      </c>
    </row>
    <row r="849" spans="1:10" x14ac:dyDescent="0.25">
      <c r="A849" t="s">
        <v>871</v>
      </c>
      <c r="B849" t="s">
        <v>15</v>
      </c>
      <c r="C849" s="1">
        <v>45783</v>
      </c>
      <c r="D849">
        <v>11086</v>
      </c>
      <c r="E849">
        <v>604</v>
      </c>
      <c r="F849">
        <v>0.52</v>
      </c>
      <c r="G849">
        <v>0</v>
      </c>
      <c r="H849" t="s">
        <v>19</v>
      </c>
      <c r="I849" t="s">
        <v>13</v>
      </c>
      <c r="J849">
        <v>16</v>
      </c>
    </row>
    <row r="850" spans="1:10" x14ac:dyDescent="0.25">
      <c r="A850" t="s">
        <v>872</v>
      </c>
      <c r="B850" t="s">
        <v>15</v>
      </c>
      <c r="C850" s="1">
        <v>45798</v>
      </c>
      <c r="D850">
        <v>141353</v>
      </c>
      <c r="E850">
        <v>549</v>
      </c>
      <c r="F850">
        <v>0.51</v>
      </c>
      <c r="G850">
        <v>6</v>
      </c>
      <c r="H850" t="s">
        <v>12</v>
      </c>
      <c r="I850" t="s">
        <v>89</v>
      </c>
      <c r="J850">
        <v>15</v>
      </c>
    </row>
    <row r="851" spans="1:10" x14ac:dyDescent="0.25">
      <c r="A851" t="s">
        <v>873</v>
      </c>
      <c r="B851" t="s">
        <v>43</v>
      </c>
      <c r="C851" s="1">
        <v>45396</v>
      </c>
      <c r="D851">
        <v>33980</v>
      </c>
      <c r="E851">
        <v>752</v>
      </c>
      <c r="F851">
        <v>0.64</v>
      </c>
      <c r="G851">
        <v>1</v>
      </c>
      <c r="H851" t="s">
        <v>12</v>
      </c>
      <c r="I851" t="s">
        <v>17</v>
      </c>
      <c r="J851">
        <v>28</v>
      </c>
    </row>
    <row r="852" spans="1:10" x14ac:dyDescent="0.25">
      <c r="A852" t="s">
        <v>874</v>
      </c>
      <c r="B852" t="s">
        <v>15</v>
      </c>
      <c r="C852" s="1">
        <v>45795</v>
      </c>
      <c r="D852">
        <v>8585</v>
      </c>
      <c r="E852">
        <v>803</v>
      </c>
      <c r="F852">
        <v>0.17</v>
      </c>
      <c r="G852">
        <v>0</v>
      </c>
      <c r="H852" t="s">
        <v>19</v>
      </c>
      <c r="I852" t="s">
        <v>13</v>
      </c>
      <c r="J852">
        <v>15</v>
      </c>
    </row>
    <row r="853" spans="1:10" x14ac:dyDescent="0.25">
      <c r="A853" t="s">
        <v>875</v>
      </c>
      <c r="B853" t="s">
        <v>11</v>
      </c>
      <c r="C853" s="1">
        <v>45526</v>
      </c>
      <c r="D853">
        <v>49800</v>
      </c>
      <c r="E853">
        <v>523</v>
      </c>
      <c r="F853">
        <v>0.23</v>
      </c>
      <c r="G853">
        <v>0</v>
      </c>
      <c r="H853" t="s">
        <v>16</v>
      </c>
      <c r="I853" t="s">
        <v>13</v>
      </c>
      <c r="J853">
        <v>24</v>
      </c>
    </row>
    <row r="854" spans="1:10" x14ac:dyDescent="0.25">
      <c r="A854" t="s">
        <v>876</v>
      </c>
      <c r="B854" t="s">
        <v>21</v>
      </c>
      <c r="C854" s="1">
        <v>45598</v>
      </c>
      <c r="D854">
        <v>88552</v>
      </c>
      <c r="E854">
        <v>843</v>
      </c>
      <c r="F854">
        <v>0.53</v>
      </c>
      <c r="G854">
        <v>2</v>
      </c>
      <c r="H854" t="s">
        <v>41</v>
      </c>
      <c r="I854" t="s">
        <v>23</v>
      </c>
      <c r="J854">
        <v>22</v>
      </c>
    </row>
    <row r="855" spans="1:10" x14ac:dyDescent="0.25">
      <c r="A855" t="s">
        <v>877</v>
      </c>
      <c r="B855" t="s">
        <v>11</v>
      </c>
      <c r="C855" s="1">
        <v>45356</v>
      </c>
      <c r="D855">
        <v>35770</v>
      </c>
      <c r="E855">
        <v>763</v>
      </c>
      <c r="F855">
        <v>0.18</v>
      </c>
      <c r="G855">
        <v>0</v>
      </c>
      <c r="H855" t="s">
        <v>22</v>
      </c>
      <c r="I855" t="s">
        <v>13</v>
      </c>
      <c r="J855">
        <v>30</v>
      </c>
    </row>
    <row r="856" spans="1:10" x14ac:dyDescent="0.25">
      <c r="A856" t="s">
        <v>878</v>
      </c>
      <c r="B856" t="s">
        <v>15</v>
      </c>
      <c r="C856" s="1">
        <v>45487</v>
      </c>
      <c r="D856">
        <v>105339</v>
      </c>
      <c r="E856">
        <v>701</v>
      </c>
      <c r="F856">
        <v>0.21</v>
      </c>
      <c r="G856">
        <v>6</v>
      </c>
      <c r="H856" t="s">
        <v>19</v>
      </c>
      <c r="I856" t="s">
        <v>17</v>
      </c>
      <c r="J856">
        <v>25</v>
      </c>
    </row>
    <row r="857" spans="1:10" x14ac:dyDescent="0.25">
      <c r="A857" t="s">
        <v>879</v>
      </c>
      <c r="B857" t="s">
        <v>15</v>
      </c>
      <c r="C857" s="1">
        <v>45654</v>
      </c>
      <c r="D857">
        <v>13132</v>
      </c>
      <c r="E857">
        <v>780</v>
      </c>
      <c r="F857">
        <v>0.52</v>
      </c>
      <c r="G857">
        <v>0</v>
      </c>
      <c r="H857" t="s">
        <v>22</v>
      </c>
      <c r="I857" t="s">
        <v>13</v>
      </c>
      <c r="J857">
        <v>20</v>
      </c>
    </row>
    <row r="858" spans="1:10" x14ac:dyDescent="0.25">
      <c r="A858" t="s">
        <v>880</v>
      </c>
      <c r="B858" t="s">
        <v>11</v>
      </c>
      <c r="C858" s="1">
        <v>45840</v>
      </c>
      <c r="D858">
        <v>28529</v>
      </c>
      <c r="E858">
        <v>575</v>
      </c>
      <c r="F858">
        <v>0.65</v>
      </c>
      <c r="G858">
        <v>2</v>
      </c>
      <c r="H858" t="s">
        <v>19</v>
      </c>
      <c r="I858" t="s">
        <v>89</v>
      </c>
      <c r="J858">
        <v>14</v>
      </c>
    </row>
    <row r="859" spans="1:10" x14ac:dyDescent="0.25">
      <c r="A859" t="s">
        <v>881</v>
      </c>
      <c r="B859" t="s">
        <v>15</v>
      </c>
      <c r="C859" s="1">
        <v>45368</v>
      </c>
      <c r="D859">
        <v>21113</v>
      </c>
      <c r="E859">
        <v>532</v>
      </c>
      <c r="F859">
        <v>0.43</v>
      </c>
      <c r="G859">
        <v>0</v>
      </c>
      <c r="H859" t="s">
        <v>12</v>
      </c>
      <c r="I859" t="s">
        <v>13</v>
      </c>
      <c r="J859">
        <v>29</v>
      </c>
    </row>
    <row r="860" spans="1:10" x14ac:dyDescent="0.25">
      <c r="A860" t="s">
        <v>882</v>
      </c>
      <c r="B860" t="s">
        <v>21</v>
      </c>
      <c r="C860" s="1">
        <v>45421</v>
      </c>
      <c r="D860">
        <v>35623</v>
      </c>
      <c r="E860">
        <v>467</v>
      </c>
      <c r="F860">
        <v>0.27</v>
      </c>
      <c r="G860">
        <v>0</v>
      </c>
      <c r="H860" t="s">
        <v>41</v>
      </c>
      <c r="I860" t="s">
        <v>13</v>
      </c>
      <c r="J860">
        <v>28</v>
      </c>
    </row>
    <row r="861" spans="1:10" x14ac:dyDescent="0.25">
      <c r="A861" t="s">
        <v>883</v>
      </c>
      <c r="B861" t="s">
        <v>21</v>
      </c>
      <c r="C861" s="1">
        <v>45869</v>
      </c>
      <c r="D861">
        <v>15636</v>
      </c>
      <c r="E861">
        <v>610</v>
      </c>
      <c r="F861">
        <v>0.49</v>
      </c>
      <c r="G861">
        <v>0</v>
      </c>
      <c r="H861" t="s">
        <v>19</v>
      </c>
      <c r="I861" t="s">
        <v>13</v>
      </c>
      <c r="J861">
        <v>13</v>
      </c>
    </row>
    <row r="862" spans="1:10" x14ac:dyDescent="0.25">
      <c r="A862" t="s">
        <v>884</v>
      </c>
      <c r="B862" t="s">
        <v>15</v>
      </c>
      <c r="C862" s="1">
        <v>45868</v>
      </c>
      <c r="D862">
        <v>89793</v>
      </c>
      <c r="E862">
        <v>626</v>
      </c>
      <c r="F862">
        <v>0.55000000000000004</v>
      </c>
      <c r="G862">
        <v>2</v>
      </c>
      <c r="H862" t="s">
        <v>19</v>
      </c>
      <c r="I862" t="s">
        <v>17</v>
      </c>
      <c r="J862">
        <v>13</v>
      </c>
    </row>
    <row r="863" spans="1:10" x14ac:dyDescent="0.25">
      <c r="A863" t="s">
        <v>885</v>
      </c>
      <c r="B863" t="s">
        <v>15</v>
      </c>
      <c r="C863" s="1">
        <v>45634</v>
      </c>
      <c r="D863">
        <v>36816</v>
      </c>
      <c r="E863">
        <v>597</v>
      </c>
      <c r="F863">
        <v>0.24</v>
      </c>
      <c r="G863">
        <v>0</v>
      </c>
      <c r="H863" t="s">
        <v>41</v>
      </c>
      <c r="I863" t="s">
        <v>13</v>
      </c>
      <c r="J863">
        <v>21</v>
      </c>
    </row>
    <row r="864" spans="1:10" x14ac:dyDescent="0.25">
      <c r="A864" t="s">
        <v>886</v>
      </c>
      <c r="B864" t="s">
        <v>11</v>
      </c>
      <c r="C864" s="1">
        <v>45614</v>
      </c>
      <c r="D864">
        <v>141924</v>
      </c>
      <c r="E864">
        <v>707</v>
      </c>
      <c r="F864">
        <v>0.28999999999999998</v>
      </c>
      <c r="G864">
        <v>0</v>
      </c>
      <c r="H864" t="s">
        <v>12</v>
      </c>
      <c r="I864" t="s">
        <v>13</v>
      </c>
      <c r="J864">
        <v>21</v>
      </c>
    </row>
    <row r="865" spans="1:10" x14ac:dyDescent="0.25">
      <c r="A865" t="s">
        <v>887</v>
      </c>
      <c r="B865" t="s">
        <v>15</v>
      </c>
      <c r="C865" s="1">
        <v>45559</v>
      </c>
      <c r="D865">
        <v>66253</v>
      </c>
      <c r="E865">
        <v>779</v>
      </c>
      <c r="F865">
        <v>0.46</v>
      </c>
      <c r="G865">
        <v>6</v>
      </c>
      <c r="H865" t="s">
        <v>16</v>
      </c>
      <c r="I865" t="s">
        <v>23</v>
      </c>
      <c r="J865">
        <v>23</v>
      </c>
    </row>
    <row r="866" spans="1:10" x14ac:dyDescent="0.25">
      <c r="A866" t="s">
        <v>888</v>
      </c>
      <c r="B866" t="s">
        <v>21</v>
      </c>
      <c r="C866" s="1">
        <v>45695</v>
      </c>
      <c r="D866">
        <v>51097</v>
      </c>
      <c r="E866">
        <v>799</v>
      </c>
      <c r="F866">
        <v>0.17</v>
      </c>
      <c r="G866">
        <v>5</v>
      </c>
      <c r="H866" t="s">
        <v>41</v>
      </c>
      <c r="I866" t="s">
        <v>17</v>
      </c>
      <c r="J866">
        <v>19</v>
      </c>
    </row>
    <row r="867" spans="1:10" x14ac:dyDescent="0.25">
      <c r="A867" t="s">
        <v>889</v>
      </c>
      <c r="B867" t="s">
        <v>21</v>
      </c>
      <c r="C867" s="1">
        <v>45607</v>
      </c>
      <c r="D867">
        <v>138695</v>
      </c>
      <c r="E867">
        <v>667</v>
      </c>
      <c r="F867">
        <v>0.35</v>
      </c>
      <c r="G867">
        <v>0</v>
      </c>
      <c r="H867" t="s">
        <v>19</v>
      </c>
      <c r="I867" t="s">
        <v>13</v>
      </c>
      <c r="J867">
        <v>21</v>
      </c>
    </row>
    <row r="868" spans="1:10" x14ac:dyDescent="0.25">
      <c r="A868" t="s">
        <v>890</v>
      </c>
      <c r="B868" t="s">
        <v>21</v>
      </c>
      <c r="C868" s="1">
        <v>45372</v>
      </c>
      <c r="D868">
        <v>122575</v>
      </c>
      <c r="E868">
        <v>763</v>
      </c>
      <c r="F868">
        <v>0.51</v>
      </c>
      <c r="G868">
        <v>0</v>
      </c>
      <c r="H868" t="s">
        <v>12</v>
      </c>
      <c r="I868" t="s">
        <v>13</v>
      </c>
      <c r="J868">
        <v>29</v>
      </c>
    </row>
    <row r="869" spans="1:10" x14ac:dyDescent="0.25">
      <c r="A869" t="s">
        <v>891</v>
      </c>
      <c r="B869" t="s">
        <v>21</v>
      </c>
      <c r="C869" s="1">
        <v>45326</v>
      </c>
      <c r="D869">
        <v>111410</v>
      </c>
      <c r="E869">
        <v>810</v>
      </c>
      <c r="F869">
        <v>0.39</v>
      </c>
      <c r="G869">
        <v>0</v>
      </c>
      <c r="H869" t="s">
        <v>19</v>
      </c>
      <c r="I869" t="s">
        <v>17</v>
      </c>
      <c r="J869">
        <v>31</v>
      </c>
    </row>
    <row r="870" spans="1:10" x14ac:dyDescent="0.25">
      <c r="A870" t="s">
        <v>892</v>
      </c>
      <c r="B870" t="s">
        <v>11</v>
      </c>
      <c r="C870" s="1">
        <v>45676</v>
      </c>
      <c r="D870">
        <v>20148</v>
      </c>
      <c r="E870">
        <v>725</v>
      </c>
      <c r="F870">
        <v>0.31</v>
      </c>
      <c r="G870">
        <v>0</v>
      </c>
      <c r="H870" t="s">
        <v>41</v>
      </c>
      <c r="I870" t="s">
        <v>13</v>
      </c>
      <c r="J870">
        <v>19</v>
      </c>
    </row>
    <row r="871" spans="1:10" x14ac:dyDescent="0.25">
      <c r="A871" t="s">
        <v>893</v>
      </c>
      <c r="B871" t="s">
        <v>21</v>
      </c>
      <c r="C871" s="1">
        <v>45545</v>
      </c>
      <c r="D871">
        <v>31549</v>
      </c>
      <c r="E871">
        <v>532</v>
      </c>
      <c r="F871">
        <v>0.51</v>
      </c>
      <c r="G871">
        <v>3</v>
      </c>
      <c r="H871" t="s">
        <v>12</v>
      </c>
      <c r="I871" t="s">
        <v>89</v>
      </c>
      <c r="J871">
        <v>23</v>
      </c>
    </row>
    <row r="872" spans="1:10" x14ac:dyDescent="0.25">
      <c r="A872" t="s">
        <v>894</v>
      </c>
      <c r="B872" t="s">
        <v>15</v>
      </c>
      <c r="C872" s="1">
        <v>45909</v>
      </c>
      <c r="D872">
        <v>5282</v>
      </c>
      <c r="E872">
        <v>726</v>
      </c>
      <c r="F872">
        <v>0.48</v>
      </c>
      <c r="G872">
        <v>6</v>
      </c>
      <c r="H872" t="s">
        <v>22</v>
      </c>
      <c r="I872" t="s">
        <v>17</v>
      </c>
      <c r="J872">
        <v>12</v>
      </c>
    </row>
    <row r="873" spans="1:10" x14ac:dyDescent="0.25">
      <c r="A873" t="s">
        <v>895</v>
      </c>
      <c r="B873" t="s">
        <v>43</v>
      </c>
      <c r="C873" s="1">
        <v>45866</v>
      </c>
      <c r="D873">
        <v>98659</v>
      </c>
      <c r="E873">
        <v>600</v>
      </c>
      <c r="F873">
        <v>0.59</v>
      </c>
      <c r="G873">
        <v>0</v>
      </c>
      <c r="H873" t="s">
        <v>12</v>
      </c>
      <c r="I873" t="s">
        <v>13</v>
      </c>
      <c r="J873">
        <v>13</v>
      </c>
    </row>
    <row r="874" spans="1:10" x14ac:dyDescent="0.25">
      <c r="A874" t="s">
        <v>896</v>
      </c>
      <c r="B874" t="s">
        <v>11</v>
      </c>
      <c r="C874" s="1">
        <v>45638</v>
      </c>
      <c r="D874">
        <v>119627</v>
      </c>
      <c r="E874">
        <v>469</v>
      </c>
      <c r="F874">
        <v>0.62</v>
      </c>
      <c r="G874">
        <v>3</v>
      </c>
      <c r="H874" t="s">
        <v>12</v>
      </c>
      <c r="I874" t="s">
        <v>89</v>
      </c>
      <c r="J874">
        <v>20</v>
      </c>
    </row>
    <row r="875" spans="1:10" x14ac:dyDescent="0.25">
      <c r="A875" t="s">
        <v>897</v>
      </c>
      <c r="B875" t="s">
        <v>21</v>
      </c>
      <c r="C875" s="1">
        <v>45423</v>
      </c>
      <c r="D875">
        <v>111402</v>
      </c>
      <c r="E875">
        <v>606</v>
      </c>
      <c r="F875">
        <v>0.49</v>
      </c>
      <c r="G875">
        <v>3</v>
      </c>
      <c r="H875" t="s">
        <v>12</v>
      </c>
      <c r="I875" t="s">
        <v>23</v>
      </c>
      <c r="J875">
        <v>27</v>
      </c>
    </row>
    <row r="876" spans="1:10" x14ac:dyDescent="0.25">
      <c r="A876" t="s">
        <v>898</v>
      </c>
      <c r="B876" t="s">
        <v>21</v>
      </c>
      <c r="C876" s="1">
        <v>45369</v>
      </c>
      <c r="D876">
        <v>46843</v>
      </c>
      <c r="E876">
        <v>519</v>
      </c>
      <c r="F876">
        <v>0.59</v>
      </c>
      <c r="G876">
        <v>5</v>
      </c>
      <c r="H876" t="s">
        <v>16</v>
      </c>
      <c r="I876" t="s">
        <v>89</v>
      </c>
      <c r="J876">
        <v>29</v>
      </c>
    </row>
    <row r="877" spans="1:10" x14ac:dyDescent="0.25">
      <c r="A877" t="s">
        <v>899</v>
      </c>
      <c r="B877" t="s">
        <v>21</v>
      </c>
      <c r="C877" s="1">
        <v>45473</v>
      </c>
      <c r="D877">
        <v>18376</v>
      </c>
      <c r="E877">
        <v>694</v>
      </c>
      <c r="F877">
        <v>0.32</v>
      </c>
      <c r="G877">
        <v>0</v>
      </c>
      <c r="H877" t="s">
        <v>12</v>
      </c>
      <c r="I877" t="s">
        <v>13</v>
      </c>
      <c r="J877">
        <v>26</v>
      </c>
    </row>
    <row r="878" spans="1:10" x14ac:dyDescent="0.25">
      <c r="A878" t="s">
        <v>900</v>
      </c>
      <c r="B878" t="s">
        <v>15</v>
      </c>
      <c r="C878" s="1">
        <v>45658</v>
      </c>
      <c r="D878">
        <v>69282</v>
      </c>
      <c r="E878">
        <v>788</v>
      </c>
      <c r="F878">
        <v>0.6</v>
      </c>
      <c r="G878">
        <v>0</v>
      </c>
      <c r="H878" t="s">
        <v>12</v>
      </c>
      <c r="I878" t="s">
        <v>13</v>
      </c>
      <c r="J878">
        <v>20</v>
      </c>
    </row>
    <row r="879" spans="1:10" x14ac:dyDescent="0.25">
      <c r="A879" t="s">
        <v>901</v>
      </c>
      <c r="B879" t="s">
        <v>11</v>
      </c>
      <c r="C879" s="1">
        <v>45443</v>
      </c>
      <c r="D879">
        <v>131489</v>
      </c>
      <c r="E879">
        <v>809</v>
      </c>
      <c r="F879">
        <v>0.45</v>
      </c>
      <c r="G879">
        <v>0</v>
      </c>
      <c r="H879" t="s">
        <v>16</v>
      </c>
      <c r="I879" t="s">
        <v>13</v>
      </c>
      <c r="J879">
        <v>27</v>
      </c>
    </row>
    <row r="880" spans="1:10" x14ac:dyDescent="0.25">
      <c r="A880" t="s">
        <v>902</v>
      </c>
      <c r="B880" t="s">
        <v>11</v>
      </c>
      <c r="C880" s="1">
        <v>45350</v>
      </c>
      <c r="D880">
        <v>67829</v>
      </c>
      <c r="E880">
        <v>605</v>
      </c>
      <c r="F880">
        <v>0.35</v>
      </c>
      <c r="G880">
        <v>0</v>
      </c>
      <c r="H880" t="s">
        <v>27</v>
      </c>
      <c r="I880" t="s">
        <v>13</v>
      </c>
      <c r="J880">
        <v>30</v>
      </c>
    </row>
    <row r="881" spans="1:10" x14ac:dyDescent="0.25">
      <c r="A881" t="s">
        <v>903</v>
      </c>
      <c r="B881" t="s">
        <v>21</v>
      </c>
      <c r="C881" s="1">
        <v>45322</v>
      </c>
      <c r="D881">
        <v>66266</v>
      </c>
      <c r="E881">
        <v>485</v>
      </c>
      <c r="F881">
        <v>0.16</v>
      </c>
      <c r="G881">
        <v>0</v>
      </c>
      <c r="H881" t="s">
        <v>12</v>
      </c>
      <c r="I881" t="s">
        <v>13</v>
      </c>
      <c r="J881">
        <v>31</v>
      </c>
    </row>
    <row r="882" spans="1:10" x14ac:dyDescent="0.25">
      <c r="A882" t="s">
        <v>904</v>
      </c>
      <c r="B882" t="s">
        <v>43</v>
      </c>
      <c r="C882" s="1">
        <v>45866</v>
      </c>
      <c r="D882">
        <v>71328</v>
      </c>
      <c r="E882">
        <v>536</v>
      </c>
      <c r="F882">
        <v>0.34</v>
      </c>
      <c r="G882">
        <v>4</v>
      </c>
      <c r="H882" t="s">
        <v>12</v>
      </c>
      <c r="I882" t="s">
        <v>23</v>
      </c>
      <c r="J882">
        <v>13</v>
      </c>
    </row>
    <row r="883" spans="1:10" x14ac:dyDescent="0.25">
      <c r="A883" t="s">
        <v>905</v>
      </c>
      <c r="B883" t="s">
        <v>11</v>
      </c>
      <c r="C883" s="1">
        <v>45431</v>
      </c>
      <c r="D883">
        <v>140029</v>
      </c>
      <c r="E883">
        <v>569</v>
      </c>
      <c r="F883">
        <v>0.64</v>
      </c>
      <c r="G883">
        <v>1</v>
      </c>
      <c r="H883" t="s">
        <v>19</v>
      </c>
      <c r="I883" t="s">
        <v>23</v>
      </c>
      <c r="J883">
        <v>27</v>
      </c>
    </row>
    <row r="884" spans="1:10" x14ac:dyDescent="0.25">
      <c r="A884" t="s">
        <v>906</v>
      </c>
      <c r="B884" t="s">
        <v>11</v>
      </c>
      <c r="C884" s="1">
        <v>45489</v>
      </c>
      <c r="D884">
        <v>144597</v>
      </c>
      <c r="E884">
        <v>796</v>
      </c>
      <c r="F884">
        <v>0.54</v>
      </c>
      <c r="G884">
        <v>0</v>
      </c>
      <c r="H884" t="s">
        <v>12</v>
      </c>
      <c r="I884" t="s">
        <v>13</v>
      </c>
      <c r="J884">
        <v>25</v>
      </c>
    </row>
    <row r="885" spans="1:10" x14ac:dyDescent="0.25">
      <c r="A885" t="s">
        <v>907</v>
      </c>
      <c r="B885" t="s">
        <v>21</v>
      </c>
      <c r="C885" s="1">
        <v>45862</v>
      </c>
      <c r="D885">
        <v>76386</v>
      </c>
      <c r="E885">
        <v>-1</v>
      </c>
      <c r="F885">
        <v>0.38</v>
      </c>
      <c r="G885">
        <v>6</v>
      </c>
      <c r="H885" t="s">
        <v>41</v>
      </c>
      <c r="I885" t="s">
        <v>17</v>
      </c>
      <c r="J885">
        <v>13</v>
      </c>
    </row>
    <row r="886" spans="1:10" x14ac:dyDescent="0.25">
      <c r="A886" t="s">
        <v>908</v>
      </c>
      <c r="B886" t="s">
        <v>21</v>
      </c>
      <c r="C886" s="1">
        <v>45402</v>
      </c>
      <c r="D886">
        <v>75792</v>
      </c>
      <c r="E886">
        <v>752</v>
      </c>
      <c r="F886">
        <v>0.48</v>
      </c>
      <c r="G886">
        <v>0</v>
      </c>
      <c r="H886" t="s">
        <v>19</v>
      </c>
      <c r="I886" t="s">
        <v>17</v>
      </c>
      <c r="J886">
        <v>28</v>
      </c>
    </row>
    <row r="887" spans="1:10" x14ac:dyDescent="0.25">
      <c r="A887" t="s">
        <v>909</v>
      </c>
      <c r="B887" t="s">
        <v>11</v>
      </c>
      <c r="C887" s="1">
        <v>45774</v>
      </c>
      <c r="D887">
        <v>21642</v>
      </c>
      <c r="E887">
        <v>507</v>
      </c>
      <c r="F887">
        <v>0.57999999999999996</v>
      </c>
      <c r="G887">
        <v>6</v>
      </c>
      <c r="H887" t="s">
        <v>19</v>
      </c>
      <c r="I887" t="s">
        <v>89</v>
      </c>
      <c r="J887">
        <v>16</v>
      </c>
    </row>
    <row r="888" spans="1:10" x14ac:dyDescent="0.25">
      <c r="A888" t="s">
        <v>910</v>
      </c>
      <c r="B888" t="s">
        <v>11</v>
      </c>
      <c r="C888" s="1">
        <v>45403</v>
      </c>
      <c r="D888">
        <v>97134</v>
      </c>
      <c r="E888">
        <v>822</v>
      </c>
      <c r="F888">
        <v>0.35</v>
      </c>
      <c r="G888">
        <v>6</v>
      </c>
      <c r="H888" t="s">
        <v>19</v>
      </c>
      <c r="I888" t="s">
        <v>17</v>
      </c>
      <c r="J888">
        <v>28</v>
      </c>
    </row>
    <row r="889" spans="1:10" x14ac:dyDescent="0.25">
      <c r="A889" t="s">
        <v>911</v>
      </c>
      <c r="B889" t="s">
        <v>21</v>
      </c>
      <c r="C889" s="1">
        <v>45804</v>
      </c>
      <c r="D889">
        <v>71200</v>
      </c>
      <c r="E889">
        <v>571</v>
      </c>
      <c r="F889">
        <v>0.49</v>
      </c>
      <c r="G889">
        <v>4</v>
      </c>
      <c r="H889" t="s">
        <v>12</v>
      </c>
      <c r="I889" t="s">
        <v>23</v>
      </c>
      <c r="J889">
        <v>15</v>
      </c>
    </row>
    <row r="890" spans="1:10" x14ac:dyDescent="0.25">
      <c r="A890" t="s">
        <v>912</v>
      </c>
      <c r="B890" t="s">
        <v>15</v>
      </c>
      <c r="C890" s="1">
        <v>45604</v>
      </c>
      <c r="D890">
        <v>87207</v>
      </c>
      <c r="E890">
        <v>464</v>
      </c>
      <c r="F890">
        <v>0.15</v>
      </c>
      <c r="G890">
        <v>0</v>
      </c>
      <c r="H890" t="s">
        <v>19</v>
      </c>
      <c r="I890" t="s">
        <v>13</v>
      </c>
      <c r="J890">
        <v>22</v>
      </c>
    </row>
    <row r="891" spans="1:10" x14ac:dyDescent="0.25">
      <c r="A891" t="s">
        <v>913</v>
      </c>
      <c r="B891" t="s">
        <v>21</v>
      </c>
      <c r="C891" s="1">
        <v>45505</v>
      </c>
      <c r="D891">
        <v>92208</v>
      </c>
      <c r="E891">
        <v>777</v>
      </c>
      <c r="F891">
        <v>0.16</v>
      </c>
      <c r="G891">
        <v>0</v>
      </c>
      <c r="H891" t="s">
        <v>19</v>
      </c>
      <c r="I891" t="s">
        <v>13</v>
      </c>
      <c r="J891">
        <v>25</v>
      </c>
    </row>
    <row r="892" spans="1:10" x14ac:dyDescent="0.25">
      <c r="A892" t="s">
        <v>914</v>
      </c>
      <c r="B892" t="s">
        <v>43</v>
      </c>
      <c r="C892" s="1">
        <v>45664</v>
      </c>
      <c r="D892">
        <v>148117</v>
      </c>
      <c r="E892">
        <v>744</v>
      </c>
      <c r="F892">
        <v>0.3</v>
      </c>
      <c r="G892">
        <v>0</v>
      </c>
      <c r="H892" t="s">
        <v>19</v>
      </c>
      <c r="I892" t="s">
        <v>13</v>
      </c>
      <c r="J892">
        <v>20</v>
      </c>
    </row>
    <row r="893" spans="1:10" x14ac:dyDescent="0.25">
      <c r="A893" t="s">
        <v>915</v>
      </c>
      <c r="B893" t="s">
        <v>21</v>
      </c>
      <c r="C893" s="1">
        <v>45880</v>
      </c>
      <c r="D893">
        <v>115679</v>
      </c>
      <c r="E893">
        <v>576</v>
      </c>
      <c r="F893">
        <v>0.51</v>
      </c>
      <c r="G893">
        <v>0</v>
      </c>
      <c r="H893" t="s">
        <v>22</v>
      </c>
      <c r="I893" t="s">
        <v>13</v>
      </c>
      <c r="J893">
        <v>12</v>
      </c>
    </row>
    <row r="894" spans="1:10" x14ac:dyDescent="0.25">
      <c r="A894" t="s">
        <v>916</v>
      </c>
      <c r="B894" t="s">
        <v>15</v>
      </c>
      <c r="C894" s="1">
        <v>45891</v>
      </c>
      <c r="D894">
        <v>134808</v>
      </c>
      <c r="E894">
        <v>800</v>
      </c>
      <c r="F894">
        <v>0.38</v>
      </c>
      <c r="G894">
        <v>0</v>
      </c>
      <c r="H894" t="s">
        <v>19</v>
      </c>
      <c r="I894" t="s">
        <v>23</v>
      </c>
      <c r="J894">
        <v>12</v>
      </c>
    </row>
    <row r="895" spans="1:10" x14ac:dyDescent="0.25">
      <c r="A895" t="s">
        <v>917</v>
      </c>
      <c r="B895" t="s">
        <v>21</v>
      </c>
      <c r="C895" s="1">
        <v>45482</v>
      </c>
      <c r="D895">
        <v>22332</v>
      </c>
      <c r="E895">
        <v>480</v>
      </c>
      <c r="F895">
        <v>0.41</v>
      </c>
      <c r="G895">
        <v>0</v>
      </c>
      <c r="H895" t="s">
        <v>19</v>
      </c>
      <c r="I895" t="s">
        <v>13</v>
      </c>
      <c r="J895">
        <v>26</v>
      </c>
    </row>
    <row r="896" spans="1:10" x14ac:dyDescent="0.25">
      <c r="A896" t="s">
        <v>918</v>
      </c>
      <c r="B896" t="s">
        <v>15</v>
      </c>
      <c r="C896" s="1">
        <v>45959</v>
      </c>
      <c r="D896">
        <v>57624</v>
      </c>
      <c r="E896">
        <v>844</v>
      </c>
      <c r="F896">
        <v>0.38</v>
      </c>
      <c r="G896">
        <v>0</v>
      </c>
      <c r="H896" t="s">
        <v>12</v>
      </c>
      <c r="I896" t="s">
        <v>13</v>
      </c>
      <c r="J896">
        <v>10</v>
      </c>
    </row>
    <row r="897" spans="1:10" x14ac:dyDescent="0.25">
      <c r="A897" t="s">
        <v>919</v>
      </c>
      <c r="B897" t="s">
        <v>11</v>
      </c>
      <c r="C897" s="1">
        <v>45414</v>
      </c>
      <c r="D897">
        <v>51749</v>
      </c>
      <c r="E897">
        <v>483</v>
      </c>
      <c r="F897">
        <v>0.55000000000000004</v>
      </c>
      <c r="G897">
        <v>3</v>
      </c>
      <c r="H897" t="s">
        <v>12</v>
      </c>
      <c r="I897" t="s">
        <v>23</v>
      </c>
      <c r="J897">
        <v>28</v>
      </c>
    </row>
    <row r="898" spans="1:10" x14ac:dyDescent="0.25">
      <c r="A898" t="s">
        <v>920</v>
      </c>
      <c r="B898" t="s">
        <v>15</v>
      </c>
      <c r="C898" s="1">
        <v>45878</v>
      </c>
      <c r="D898">
        <v>117035</v>
      </c>
      <c r="E898">
        <v>776</v>
      </c>
      <c r="F898">
        <v>0.22</v>
      </c>
      <c r="G898">
        <v>0</v>
      </c>
      <c r="H898" t="s">
        <v>41</v>
      </c>
      <c r="I898" t="s">
        <v>13</v>
      </c>
      <c r="J898">
        <v>13</v>
      </c>
    </row>
    <row r="899" spans="1:10" x14ac:dyDescent="0.25">
      <c r="A899" t="s">
        <v>921</v>
      </c>
      <c r="B899" t="s">
        <v>43</v>
      </c>
      <c r="C899" s="1">
        <v>45803</v>
      </c>
      <c r="D899">
        <v>95309</v>
      </c>
      <c r="E899">
        <v>551</v>
      </c>
      <c r="F899">
        <v>0.51</v>
      </c>
      <c r="G899">
        <v>4</v>
      </c>
      <c r="H899" t="s">
        <v>16</v>
      </c>
      <c r="I899" t="s">
        <v>23</v>
      </c>
      <c r="J899">
        <v>15</v>
      </c>
    </row>
    <row r="900" spans="1:10" x14ac:dyDescent="0.25">
      <c r="A900" t="s">
        <v>922</v>
      </c>
      <c r="B900" t="s">
        <v>15</v>
      </c>
      <c r="C900" s="1">
        <v>45988</v>
      </c>
      <c r="D900">
        <v>50427</v>
      </c>
      <c r="E900">
        <v>579</v>
      </c>
      <c r="F900">
        <v>0.42</v>
      </c>
      <c r="G900">
        <v>0</v>
      </c>
      <c r="H900" t="s">
        <v>16</v>
      </c>
      <c r="I900" t="s">
        <v>13</v>
      </c>
      <c r="J900">
        <v>9</v>
      </c>
    </row>
    <row r="901" spans="1:10" x14ac:dyDescent="0.25">
      <c r="A901" t="s">
        <v>923</v>
      </c>
      <c r="B901" t="s">
        <v>43</v>
      </c>
      <c r="C901" s="1">
        <v>45918</v>
      </c>
      <c r="D901">
        <v>23061</v>
      </c>
      <c r="E901">
        <v>824</v>
      </c>
      <c r="F901">
        <v>0.28999999999999998</v>
      </c>
      <c r="G901">
        <v>5</v>
      </c>
      <c r="H901" t="s">
        <v>12</v>
      </c>
      <c r="I901" t="s">
        <v>17</v>
      </c>
      <c r="J901">
        <v>11</v>
      </c>
    </row>
    <row r="902" spans="1:10" x14ac:dyDescent="0.25">
      <c r="A902" t="s">
        <v>924</v>
      </c>
      <c r="B902" t="s">
        <v>43</v>
      </c>
      <c r="C902" s="1">
        <v>45813</v>
      </c>
      <c r="D902">
        <v>114438</v>
      </c>
      <c r="E902">
        <v>506</v>
      </c>
      <c r="F902">
        <v>0.64</v>
      </c>
      <c r="G902">
        <v>3</v>
      </c>
      <c r="H902" t="s">
        <v>41</v>
      </c>
      <c r="I902" t="s">
        <v>89</v>
      </c>
      <c r="J902">
        <v>15</v>
      </c>
    </row>
    <row r="903" spans="1:10" x14ac:dyDescent="0.25">
      <c r="A903" t="s">
        <v>925</v>
      </c>
      <c r="B903" t="s">
        <v>21</v>
      </c>
      <c r="C903" s="1">
        <v>45725</v>
      </c>
      <c r="D903">
        <v>106485</v>
      </c>
      <c r="E903">
        <v>805</v>
      </c>
      <c r="F903">
        <v>0.61</v>
      </c>
      <c r="G903">
        <v>0</v>
      </c>
      <c r="H903" t="s">
        <v>19</v>
      </c>
      <c r="I903" t="s">
        <v>13</v>
      </c>
      <c r="J903">
        <v>18</v>
      </c>
    </row>
    <row r="904" spans="1:10" x14ac:dyDescent="0.25">
      <c r="A904" t="s">
        <v>926</v>
      </c>
      <c r="B904" t="s">
        <v>11</v>
      </c>
      <c r="C904" s="1">
        <v>45679</v>
      </c>
      <c r="D904">
        <v>44811</v>
      </c>
      <c r="E904">
        <v>637</v>
      </c>
      <c r="F904">
        <v>0.4</v>
      </c>
      <c r="G904">
        <v>5</v>
      </c>
      <c r="H904" t="s">
        <v>27</v>
      </c>
      <c r="I904" t="s">
        <v>23</v>
      </c>
      <c r="J904">
        <v>19</v>
      </c>
    </row>
    <row r="905" spans="1:10" x14ac:dyDescent="0.25">
      <c r="A905" t="s">
        <v>927</v>
      </c>
      <c r="B905" t="s">
        <v>15</v>
      </c>
      <c r="C905" s="1">
        <v>45894</v>
      </c>
      <c r="D905">
        <v>127149</v>
      </c>
      <c r="E905">
        <v>563</v>
      </c>
      <c r="F905">
        <v>0.33</v>
      </c>
      <c r="G905">
        <v>0</v>
      </c>
      <c r="H905" t="s">
        <v>12</v>
      </c>
      <c r="I905" t="s">
        <v>13</v>
      </c>
      <c r="J905">
        <v>12</v>
      </c>
    </row>
    <row r="906" spans="1:10" x14ac:dyDescent="0.25">
      <c r="A906" t="s">
        <v>928</v>
      </c>
      <c r="B906" t="s">
        <v>11</v>
      </c>
      <c r="C906" s="1">
        <v>45878</v>
      </c>
      <c r="D906">
        <v>23766</v>
      </c>
      <c r="E906">
        <v>796</v>
      </c>
      <c r="F906">
        <v>0.57999999999999996</v>
      </c>
      <c r="G906">
        <v>0</v>
      </c>
      <c r="H906" t="s">
        <v>27</v>
      </c>
      <c r="I906" t="s">
        <v>13</v>
      </c>
      <c r="J906">
        <v>13</v>
      </c>
    </row>
    <row r="907" spans="1:10" x14ac:dyDescent="0.25">
      <c r="A907" t="s">
        <v>929</v>
      </c>
      <c r="B907" t="s">
        <v>11</v>
      </c>
      <c r="C907" s="1">
        <v>45319</v>
      </c>
      <c r="D907">
        <v>40352</v>
      </c>
      <c r="E907">
        <v>726</v>
      </c>
      <c r="F907">
        <v>0.33</v>
      </c>
      <c r="G907">
        <v>2</v>
      </c>
      <c r="H907" t="s">
        <v>22</v>
      </c>
      <c r="I907" t="s">
        <v>23</v>
      </c>
      <c r="J907">
        <v>31</v>
      </c>
    </row>
    <row r="908" spans="1:10" x14ac:dyDescent="0.25">
      <c r="A908" t="s">
        <v>930</v>
      </c>
      <c r="B908" t="s">
        <v>15</v>
      </c>
      <c r="C908" s="1">
        <v>45691</v>
      </c>
      <c r="D908">
        <v>104891</v>
      </c>
      <c r="E908">
        <v>553</v>
      </c>
      <c r="F908">
        <v>0.4</v>
      </c>
      <c r="G908">
        <v>0</v>
      </c>
      <c r="H908" t="s">
        <v>22</v>
      </c>
      <c r="I908" t="s">
        <v>13</v>
      </c>
      <c r="J908">
        <v>19</v>
      </c>
    </row>
    <row r="909" spans="1:10" x14ac:dyDescent="0.25">
      <c r="A909" t="s">
        <v>931</v>
      </c>
      <c r="B909" t="s">
        <v>15</v>
      </c>
      <c r="C909" s="1">
        <v>45883</v>
      </c>
      <c r="D909">
        <v>120968</v>
      </c>
      <c r="E909">
        <v>700</v>
      </c>
      <c r="F909">
        <v>0.3</v>
      </c>
      <c r="G909">
        <v>0</v>
      </c>
      <c r="H909" t="s">
        <v>12</v>
      </c>
      <c r="I909" t="s">
        <v>13</v>
      </c>
      <c r="J909">
        <v>12</v>
      </c>
    </row>
    <row r="910" spans="1:10" x14ac:dyDescent="0.25">
      <c r="A910" t="s">
        <v>932</v>
      </c>
      <c r="B910" t="s">
        <v>21</v>
      </c>
      <c r="C910" s="1">
        <v>45904</v>
      </c>
      <c r="D910">
        <v>101928</v>
      </c>
      <c r="E910">
        <v>529</v>
      </c>
      <c r="F910">
        <v>0.39</v>
      </c>
      <c r="G910">
        <v>0</v>
      </c>
      <c r="H910" t="s">
        <v>27</v>
      </c>
      <c r="I910" t="s">
        <v>13</v>
      </c>
      <c r="J910">
        <v>12</v>
      </c>
    </row>
    <row r="911" spans="1:10" x14ac:dyDescent="0.25">
      <c r="A911" t="s">
        <v>933</v>
      </c>
      <c r="B911" t="s">
        <v>21</v>
      </c>
      <c r="C911" s="1">
        <v>45412</v>
      </c>
      <c r="D911">
        <v>17608</v>
      </c>
      <c r="E911">
        <v>782</v>
      </c>
      <c r="F911">
        <v>0.16</v>
      </c>
      <c r="G911">
        <v>1</v>
      </c>
      <c r="H911" t="s">
        <v>41</v>
      </c>
      <c r="I911" t="s">
        <v>23</v>
      </c>
      <c r="J911">
        <v>28</v>
      </c>
    </row>
    <row r="912" spans="1:10" x14ac:dyDescent="0.25">
      <c r="A912" t="s">
        <v>934</v>
      </c>
      <c r="B912" t="s">
        <v>15</v>
      </c>
      <c r="C912" s="1">
        <v>45847</v>
      </c>
      <c r="D912">
        <v>10786</v>
      </c>
      <c r="E912">
        <v>636</v>
      </c>
      <c r="F912">
        <v>0.3</v>
      </c>
      <c r="G912">
        <v>5</v>
      </c>
      <c r="H912" t="s">
        <v>22</v>
      </c>
      <c r="I912" t="s">
        <v>17</v>
      </c>
      <c r="J912">
        <v>14</v>
      </c>
    </row>
    <row r="913" spans="1:10" x14ac:dyDescent="0.25">
      <c r="A913" t="s">
        <v>935</v>
      </c>
      <c r="B913" t="s">
        <v>21</v>
      </c>
      <c r="C913" s="1">
        <v>45678</v>
      </c>
      <c r="D913">
        <v>39048</v>
      </c>
      <c r="E913">
        <v>635</v>
      </c>
      <c r="F913">
        <v>0.59</v>
      </c>
      <c r="G913">
        <v>4</v>
      </c>
      <c r="H913" t="s">
        <v>19</v>
      </c>
      <c r="I913" t="s">
        <v>17</v>
      </c>
      <c r="J913">
        <v>19</v>
      </c>
    </row>
    <row r="914" spans="1:10" x14ac:dyDescent="0.25">
      <c r="A914" t="s">
        <v>936</v>
      </c>
      <c r="B914" t="s">
        <v>43</v>
      </c>
      <c r="C914" s="1">
        <v>45448</v>
      </c>
      <c r="D914">
        <v>148167</v>
      </c>
      <c r="E914">
        <v>835</v>
      </c>
      <c r="F914">
        <v>0.51</v>
      </c>
      <c r="G914">
        <v>0</v>
      </c>
      <c r="H914" t="s">
        <v>27</v>
      </c>
      <c r="I914" t="s">
        <v>13</v>
      </c>
      <c r="J914">
        <v>27</v>
      </c>
    </row>
    <row r="915" spans="1:10" x14ac:dyDescent="0.25">
      <c r="A915" t="s">
        <v>937</v>
      </c>
      <c r="B915" t="s">
        <v>11</v>
      </c>
      <c r="C915" s="1">
        <v>45955</v>
      </c>
      <c r="D915">
        <v>140957</v>
      </c>
      <c r="E915">
        <v>820</v>
      </c>
      <c r="F915">
        <v>0.31</v>
      </c>
      <c r="G915">
        <v>0</v>
      </c>
      <c r="H915" t="s">
        <v>27</v>
      </c>
      <c r="I915" t="s">
        <v>13</v>
      </c>
      <c r="J915">
        <v>10</v>
      </c>
    </row>
    <row r="916" spans="1:10" x14ac:dyDescent="0.25">
      <c r="A916" t="s">
        <v>938</v>
      </c>
      <c r="B916" t="s">
        <v>43</v>
      </c>
      <c r="C916" s="1">
        <v>45531</v>
      </c>
      <c r="D916">
        <v>143196</v>
      </c>
      <c r="E916">
        <v>775</v>
      </c>
      <c r="F916">
        <v>0.33</v>
      </c>
      <c r="G916">
        <v>0</v>
      </c>
      <c r="H916" t="s">
        <v>41</v>
      </c>
      <c r="I916" t="s">
        <v>13</v>
      </c>
      <c r="J916">
        <v>24</v>
      </c>
    </row>
    <row r="917" spans="1:10" x14ac:dyDescent="0.25">
      <c r="A917" t="s">
        <v>939</v>
      </c>
      <c r="B917" t="s">
        <v>21</v>
      </c>
      <c r="C917" s="1">
        <v>45961</v>
      </c>
      <c r="D917">
        <v>33564</v>
      </c>
      <c r="E917">
        <v>456</v>
      </c>
      <c r="F917">
        <v>0.18</v>
      </c>
      <c r="G917">
        <v>0</v>
      </c>
      <c r="H917" t="s">
        <v>12</v>
      </c>
      <c r="I917" t="s">
        <v>13</v>
      </c>
      <c r="J917">
        <v>10</v>
      </c>
    </row>
    <row r="918" spans="1:10" x14ac:dyDescent="0.25">
      <c r="A918" t="s">
        <v>940</v>
      </c>
      <c r="B918" t="s">
        <v>11</v>
      </c>
      <c r="C918" s="1">
        <v>45753</v>
      </c>
      <c r="D918">
        <v>111891</v>
      </c>
      <c r="E918">
        <v>767</v>
      </c>
      <c r="F918">
        <v>0.47</v>
      </c>
      <c r="G918">
        <v>0</v>
      </c>
      <c r="H918" t="s">
        <v>16</v>
      </c>
      <c r="I918" t="s">
        <v>13</v>
      </c>
      <c r="J918">
        <v>17</v>
      </c>
    </row>
    <row r="919" spans="1:10" x14ac:dyDescent="0.25">
      <c r="A919" t="s">
        <v>941</v>
      </c>
      <c r="B919" t="s">
        <v>43</v>
      </c>
      <c r="C919" s="1">
        <v>45965</v>
      </c>
      <c r="D919">
        <v>30953</v>
      </c>
      <c r="E919">
        <v>580</v>
      </c>
      <c r="F919">
        <v>0.46</v>
      </c>
      <c r="G919">
        <v>3</v>
      </c>
      <c r="H919" t="s">
        <v>12</v>
      </c>
      <c r="I919" t="s">
        <v>23</v>
      </c>
      <c r="J919">
        <v>10</v>
      </c>
    </row>
    <row r="920" spans="1:10" x14ac:dyDescent="0.25">
      <c r="A920" t="s">
        <v>942</v>
      </c>
      <c r="B920" t="s">
        <v>21</v>
      </c>
      <c r="C920" s="1">
        <v>45800</v>
      </c>
      <c r="D920">
        <v>148493</v>
      </c>
      <c r="E920">
        <v>785</v>
      </c>
      <c r="F920">
        <v>0.51</v>
      </c>
      <c r="G920">
        <v>0</v>
      </c>
      <c r="H920" t="s">
        <v>16</v>
      </c>
      <c r="I920" t="s">
        <v>13</v>
      </c>
      <c r="J920">
        <v>15</v>
      </c>
    </row>
    <row r="921" spans="1:10" x14ac:dyDescent="0.25">
      <c r="A921" t="s">
        <v>943</v>
      </c>
      <c r="B921" t="s">
        <v>21</v>
      </c>
      <c r="C921" s="1">
        <v>45596</v>
      </c>
      <c r="D921">
        <v>17547</v>
      </c>
      <c r="E921">
        <v>827</v>
      </c>
      <c r="F921">
        <v>0.35</v>
      </c>
      <c r="G921">
        <v>4</v>
      </c>
      <c r="H921" t="s">
        <v>19</v>
      </c>
      <c r="I921" t="s">
        <v>17</v>
      </c>
      <c r="J921">
        <v>22</v>
      </c>
    </row>
    <row r="922" spans="1:10" x14ac:dyDescent="0.25">
      <c r="A922" t="s">
        <v>944</v>
      </c>
      <c r="B922" t="s">
        <v>11</v>
      </c>
      <c r="C922" s="1">
        <v>45627</v>
      </c>
      <c r="D922">
        <v>134130</v>
      </c>
      <c r="E922">
        <v>703</v>
      </c>
      <c r="F922">
        <v>0.34</v>
      </c>
      <c r="G922">
        <v>0</v>
      </c>
      <c r="H922" t="s">
        <v>12</v>
      </c>
      <c r="I922" t="s">
        <v>13</v>
      </c>
      <c r="J922">
        <v>21</v>
      </c>
    </row>
    <row r="923" spans="1:10" x14ac:dyDescent="0.25">
      <c r="A923" t="s">
        <v>945</v>
      </c>
      <c r="B923" t="s">
        <v>21</v>
      </c>
      <c r="C923" s="1">
        <v>45422</v>
      </c>
      <c r="D923">
        <v>81952</v>
      </c>
      <c r="E923">
        <v>580</v>
      </c>
      <c r="F923">
        <v>0.19</v>
      </c>
      <c r="G923">
        <v>3</v>
      </c>
      <c r="H923" t="s">
        <v>27</v>
      </c>
      <c r="I923" t="s">
        <v>17</v>
      </c>
      <c r="J923">
        <v>27</v>
      </c>
    </row>
    <row r="924" spans="1:10" x14ac:dyDescent="0.25">
      <c r="A924" t="s">
        <v>946</v>
      </c>
      <c r="B924" t="s">
        <v>21</v>
      </c>
      <c r="C924" s="1">
        <v>45906</v>
      </c>
      <c r="D924">
        <v>10147</v>
      </c>
      <c r="E924">
        <v>569</v>
      </c>
      <c r="F924">
        <v>0.33</v>
      </c>
      <c r="G924">
        <v>0</v>
      </c>
      <c r="H924" t="s">
        <v>41</v>
      </c>
      <c r="I924" t="s">
        <v>13</v>
      </c>
      <c r="J924">
        <v>12</v>
      </c>
    </row>
    <row r="925" spans="1:10" x14ac:dyDescent="0.25">
      <c r="A925" t="s">
        <v>947</v>
      </c>
      <c r="B925" t="s">
        <v>21</v>
      </c>
      <c r="C925" s="1">
        <v>45822</v>
      </c>
      <c r="D925">
        <v>77038</v>
      </c>
      <c r="E925">
        <v>-1</v>
      </c>
      <c r="F925">
        <v>0.56999999999999995</v>
      </c>
      <c r="G925">
        <v>3</v>
      </c>
      <c r="H925" t="s">
        <v>27</v>
      </c>
      <c r="I925" t="s">
        <v>89</v>
      </c>
      <c r="J925">
        <v>14</v>
      </c>
    </row>
    <row r="926" spans="1:10" x14ac:dyDescent="0.25">
      <c r="A926" t="s">
        <v>948</v>
      </c>
      <c r="B926" t="s">
        <v>15</v>
      </c>
      <c r="C926" s="1">
        <v>45332</v>
      </c>
      <c r="D926">
        <v>104472</v>
      </c>
      <c r="E926">
        <v>662</v>
      </c>
      <c r="F926">
        <v>0.48</v>
      </c>
      <c r="G926">
        <v>0</v>
      </c>
      <c r="H926" t="s">
        <v>12</v>
      </c>
      <c r="I926" t="s">
        <v>13</v>
      </c>
      <c r="J926">
        <v>30</v>
      </c>
    </row>
    <row r="927" spans="1:10" x14ac:dyDescent="0.25">
      <c r="A927" t="s">
        <v>949</v>
      </c>
      <c r="B927" t="s">
        <v>21</v>
      </c>
      <c r="C927" s="1">
        <v>45640</v>
      </c>
      <c r="D927">
        <v>18387</v>
      </c>
      <c r="E927">
        <v>474</v>
      </c>
      <c r="F927">
        <v>0.44</v>
      </c>
      <c r="G927">
        <v>0</v>
      </c>
      <c r="H927" t="s">
        <v>19</v>
      </c>
      <c r="I927" t="s">
        <v>13</v>
      </c>
      <c r="J927">
        <v>20</v>
      </c>
    </row>
    <row r="928" spans="1:10" x14ac:dyDescent="0.25">
      <c r="A928" t="s">
        <v>950</v>
      </c>
      <c r="B928" t="s">
        <v>43</v>
      </c>
      <c r="C928" s="1">
        <v>45405</v>
      </c>
      <c r="D928">
        <v>95916</v>
      </c>
      <c r="E928">
        <v>797</v>
      </c>
      <c r="F928">
        <v>0.22</v>
      </c>
      <c r="G928">
        <v>5</v>
      </c>
      <c r="H928" t="s">
        <v>19</v>
      </c>
      <c r="I928" t="s">
        <v>23</v>
      </c>
      <c r="J928">
        <v>28</v>
      </c>
    </row>
    <row r="929" spans="1:10" x14ac:dyDescent="0.25">
      <c r="A929" t="s">
        <v>951</v>
      </c>
      <c r="B929" t="s">
        <v>21</v>
      </c>
      <c r="C929" s="1">
        <v>45391</v>
      </c>
      <c r="D929">
        <v>19370</v>
      </c>
      <c r="E929">
        <v>786</v>
      </c>
      <c r="F929">
        <v>0.16</v>
      </c>
      <c r="G929">
        <v>5</v>
      </c>
      <c r="H929" t="s">
        <v>12</v>
      </c>
      <c r="I929" t="s">
        <v>23</v>
      </c>
      <c r="J929">
        <v>29</v>
      </c>
    </row>
    <row r="930" spans="1:10" x14ac:dyDescent="0.25">
      <c r="A930" t="s">
        <v>952</v>
      </c>
      <c r="B930" t="s">
        <v>15</v>
      </c>
      <c r="C930" s="1">
        <v>45745</v>
      </c>
      <c r="D930">
        <v>130680</v>
      </c>
      <c r="E930">
        <v>654</v>
      </c>
      <c r="F930">
        <v>0.6</v>
      </c>
      <c r="G930">
        <v>0</v>
      </c>
      <c r="H930" t="s">
        <v>22</v>
      </c>
      <c r="I930" t="s">
        <v>13</v>
      </c>
      <c r="J930">
        <v>17</v>
      </c>
    </row>
    <row r="931" spans="1:10" x14ac:dyDescent="0.25">
      <c r="A931" t="s">
        <v>953</v>
      </c>
      <c r="B931" t="s">
        <v>21</v>
      </c>
      <c r="C931" s="1">
        <v>45563</v>
      </c>
      <c r="D931">
        <v>60841</v>
      </c>
      <c r="E931">
        <v>737</v>
      </c>
      <c r="F931">
        <v>0.57999999999999996</v>
      </c>
      <c r="G931">
        <v>6</v>
      </c>
      <c r="H931" t="s">
        <v>12</v>
      </c>
      <c r="I931" t="s">
        <v>17</v>
      </c>
      <c r="J931">
        <v>23</v>
      </c>
    </row>
    <row r="932" spans="1:10" x14ac:dyDescent="0.25">
      <c r="A932" t="s">
        <v>954</v>
      </c>
      <c r="B932" t="s">
        <v>15</v>
      </c>
      <c r="C932" s="1">
        <v>45742</v>
      </c>
      <c r="D932">
        <v>23637</v>
      </c>
      <c r="E932">
        <v>738</v>
      </c>
      <c r="F932">
        <v>0.55000000000000004</v>
      </c>
      <c r="G932">
        <v>0</v>
      </c>
      <c r="H932" t="s">
        <v>41</v>
      </c>
      <c r="I932" t="s">
        <v>13</v>
      </c>
      <c r="J932">
        <v>17</v>
      </c>
    </row>
    <row r="933" spans="1:10" x14ac:dyDescent="0.25">
      <c r="A933" t="s">
        <v>955</v>
      </c>
      <c r="B933" t="s">
        <v>21</v>
      </c>
      <c r="C933" s="1">
        <v>45621</v>
      </c>
      <c r="D933">
        <v>92151</v>
      </c>
      <c r="E933">
        <v>603</v>
      </c>
      <c r="F933">
        <v>0.35</v>
      </c>
      <c r="G933">
        <v>0</v>
      </c>
      <c r="H933" t="s">
        <v>22</v>
      </c>
      <c r="I933" t="s">
        <v>13</v>
      </c>
      <c r="J933">
        <v>21</v>
      </c>
    </row>
    <row r="934" spans="1:10" x14ac:dyDescent="0.25">
      <c r="A934" t="s">
        <v>956</v>
      </c>
      <c r="B934" t="s">
        <v>15</v>
      </c>
      <c r="C934" s="1">
        <v>45418</v>
      </c>
      <c r="D934">
        <v>57790</v>
      </c>
      <c r="E934">
        <v>511</v>
      </c>
      <c r="F934">
        <v>0.22</v>
      </c>
      <c r="G934">
        <v>0</v>
      </c>
      <c r="H934" t="s">
        <v>16</v>
      </c>
      <c r="I934" t="s">
        <v>13</v>
      </c>
      <c r="J934">
        <v>28</v>
      </c>
    </row>
    <row r="935" spans="1:10" x14ac:dyDescent="0.25">
      <c r="A935" t="s">
        <v>957</v>
      </c>
      <c r="B935" t="s">
        <v>21</v>
      </c>
      <c r="C935" s="1">
        <v>45366</v>
      </c>
      <c r="D935">
        <v>39779</v>
      </c>
      <c r="E935">
        <v>589</v>
      </c>
      <c r="F935">
        <v>0.2</v>
      </c>
      <c r="G935">
        <v>0</v>
      </c>
      <c r="H935" t="s">
        <v>16</v>
      </c>
      <c r="I935" t="s">
        <v>13</v>
      </c>
      <c r="J935">
        <v>29</v>
      </c>
    </row>
    <row r="936" spans="1:10" x14ac:dyDescent="0.25">
      <c r="A936" t="s">
        <v>958</v>
      </c>
      <c r="B936" t="s">
        <v>11</v>
      </c>
      <c r="C936" s="1">
        <v>45879</v>
      </c>
      <c r="D936">
        <v>8777</v>
      </c>
      <c r="E936">
        <v>644</v>
      </c>
      <c r="F936">
        <v>0.38</v>
      </c>
      <c r="G936">
        <v>0</v>
      </c>
      <c r="H936" t="s">
        <v>16</v>
      </c>
      <c r="I936" t="s">
        <v>13</v>
      </c>
      <c r="J936">
        <v>12</v>
      </c>
    </row>
    <row r="937" spans="1:10" x14ac:dyDescent="0.25">
      <c r="A937" t="s">
        <v>959</v>
      </c>
      <c r="B937" t="s">
        <v>15</v>
      </c>
      <c r="C937" s="1">
        <v>45694</v>
      </c>
      <c r="D937">
        <v>106881</v>
      </c>
      <c r="E937">
        <v>830</v>
      </c>
      <c r="F937">
        <v>0.46</v>
      </c>
      <c r="G937">
        <v>2</v>
      </c>
      <c r="H937" t="s">
        <v>19</v>
      </c>
      <c r="I937" t="s">
        <v>17</v>
      </c>
      <c r="J937">
        <v>19</v>
      </c>
    </row>
    <row r="938" spans="1:10" x14ac:dyDescent="0.25">
      <c r="A938" t="s">
        <v>960</v>
      </c>
      <c r="B938" t="s">
        <v>43</v>
      </c>
      <c r="C938" s="1">
        <v>45879</v>
      </c>
      <c r="D938">
        <v>77948</v>
      </c>
      <c r="E938">
        <v>-1</v>
      </c>
      <c r="F938">
        <v>0.42</v>
      </c>
      <c r="G938">
        <v>0</v>
      </c>
      <c r="H938" t="s">
        <v>12</v>
      </c>
      <c r="I938" t="s">
        <v>13</v>
      </c>
      <c r="J938">
        <v>12</v>
      </c>
    </row>
    <row r="939" spans="1:10" x14ac:dyDescent="0.25">
      <c r="A939" t="s">
        <v>961</v>
      </c>
      <c r="B939" t="s">
        <v>21</v>
      </c>
      <c r="C939" s="1">
        <v>45510</v>
      </c>
      <c r="D939">
        <v>89489</v>
      </c>
      <c r="E939">
        <v>850</v>
      </c>
      <c r="F939">
        <v>0.49</v>
      </c>
      <c r="G939">
        <v>2</v>
      </c>
      <c r="H939" t="s">
        <v>12</v>
      </c>
      <c r="I939" t="s">
        <v>23</v>
      </c>
      <c r="J939">
        <v>25</v>
      </c>
    </row>
    <row r="940" spans="1:10" x14ac:dyDescent="0.25">
      <c r="A940" t="s">
        <v>962</v>
      </c>
      <c r="B940" t="s">
        <v>21</v>
      </c>
      <c r="C940" s="1">
        <v>45330</v>
      </c>
      <c r="D940">
        <v>41783</v>
      </c>
      <c r="E940">
        <v>468</v>
      </c>
      <c r="F940">
        <v>0.56999999999999995</v>
      </c>
      <c r="G940">
        <v>4</v>
      </c>
      <c r="H940" t="s">
        <v>22</v>
      </c>
      <c r="I940" t="s">
        <v>89</v>
      </c>
      <c r="J940">
        <v>31</v>
      </c>
    </row>
    <row r="941" spans="1:10" x14ac:dyDescent="0.25">
      <c r="A941" t="s">
        <v>963</v>
      </c>
      <c r="B941" t="s">
        <v>21</v>
      </c>
      <c r="C941" s="1">
        <v>45926</v>
      </c>
      <c r="D941">
        <v>115501</v>
      </c>
      <c r="E941">
        <v>531</v>
      </c>
      <c r="F941">
        <v>0.28000000000000003</v>
      </c>
      <c r="G941">
        <v>1</v>
      </c>
      <c r="H941" t="s">
        <v>16</v>
      </c>
      <c r="I941" t="s">
        <v>17</v>
      </c>
      <c r="J941">
        <v>11</v>
      </c>
    </row>
    <row r="942" spans="1:10" x14ac:dyDescent="0.25">
      <c r="A942" t="s">
        <v>964</v>
      </c>
      <c r="B942" t="s">
        <v>11</v>
      </c>
      <c r="C942" s="1">
        <v>45484</v>
      </c>
      <c r="D942">
        <v>143788</v>
      </c>
      <c r="E942">
        <v>563</v>
      </c>
      <c r="F942">
        <v>0.23</v>
      </c>
      <c r="G942">
        <v>3</v>
      </c>
      <c r="H942" t="s">
        <v>22</v>
      </c>
      <c r="I942" t="s">
        <v>17</v>
      </c>
      <c r="J942">
        <v>25</v>
      </c>
    </row>
    <row r="943" spans="1:10" x14ac:dyDescent="0.25">
      <c r="A943" t="s">
        <v>965</v>
      </c>
      <c r="B943" t="s">
        <v>21</v>
      </c>
      <c r="C943" s="1">
        <v>45433</v>
      </c>
      <c r="D943">
        <v>59459</v>
      </c>
      <c r="E943">
        <v>522</v>
      </c>
      <c r="F943">
        <v>0.27</v>
      </c>
      <c r="G943">
        <v>5</v>
      </c>
      <c r="H943" t="s">
        <v>22</v>
      </c>
      <c r="I943" t="s">
        <v>23</v>
      </c>
      <c r="J943">
        <v>27</v>
      </c>
    </row>
    <row r="944" spans="1:10" x14ac:dyDescent="0.25">
      <c r="A944" t="s">
        <v>966</v>
      </c>
      <c r="B944" t="s">
        <v>21</v>
      </c>
      <c r="C944" s="1">
        <v>45371</v>
      </c>
      <c r="D944">
        <v>121334</v>
      </c>
      <c r="E944">
        <v>497</v>
      </c>
      <c r="F944">
        <v>0.4</v>
      </c>
      <c r="G944">
        <v>4</v>
      </c>
      <c r="H944" t="s">
        <v>19</v>
      </c>
      <c r="I944" t="s">
        <v>17</v>
      </c>
      <c r="J944">
        <v>29</v>
      </c>
    </row>
    <row r="945" spans="1:10" x14ac:dyDescent="0.25">
      <c r="A945" t="s">
        <v>967</v>
      </c>
      <c r="B945" t="s">
        <v>43</v>
      </c>
      <c r="C945" s="1">
        <v>45867</v>
      </c>
      <c r="D945">
        <v>69991</v>
      </c>
      <c r="E945">
        <v>629</v>
      </c>
      <c r="F945">
        <v>0.62</v>
      </c>
      <c r="G945">
        <v>0</v>
      </c>
      <c r="H945" t="s">
        <v>12</v>
      </c>
      <c r="I945" t="s">
        <v>13</v>
      </c>
      <c r="J945">
        <v>13</v>
      </c>
    </row>
    <row r="946" spans="1:10" x14ac:dyDescent="0.25">
      <c r="A946" t="s">
        <v>968</v>
      </c>
      <c r="B946" t="s">
        <v>11</v>
      </c>
      <c r="C946" s="1">
        <v>45326</v>
      </c>
      <c r="D946">
        <v>120300</v>
      </c>
      <c r="E946">
        <v>484</v>
      </c>
      <c r="F946">
        <v>0.63</v>
      </c>
      <c r="G946">
        <v>6</v>
      </c>
      <c r="H946" t="s">
        <v>22</v>
      </c>
      <c r="I946" t="s">
        <v>89</v>
      </c>
      <c r="J946">
        <v>31</v>
      </c>
    </row>
    <row r="947" spans="1:10" x14ac:dyDescent="0.25">
      <c r="A947" t="s">
        <v>969</v>
      </c>
      <c r="B947" t="s">
        <v>21</v>
      </c>
      <c r="C947" s="1">
        <v>45951</v>
      </c>
      <c r="D947">
        <v>119846</v>
      </c>
      <c r="E947">
        <v>477</v>
      </c>
      <c r="F947">
        <v>0.48</v>
      </c>
      <c r="G947">
        <v>3</v>
      </c>
      <c r="H947" t="s">
        <v>41</v>
      </c>
      <c r="I947" t="s">
        <v>89</v>
      </c>
      <c r="J947">
        <v>10</v>
      </c>
    </row>
    <row r="948" spans="1:10" x14ac:dyDescent="0.25">
      <c r="A948" t="s">
        <v>970</v>
      </c>
      <c r="B948" t="s">
        <v>15</v>
      </c>
      <c r="C948" s="1">
        <v>45532</v>
      </c>
      <c r="D948">
        <v>45608</v>
      </c>
      <c r="E948">
        <v>-1</v>
      </c>
      <c r="F948">
        <v>0.26</v>
      </c>
      <c r="G948">
        <v>1</v>
      </c>
      <c r="H948" t="s">
        <v>22</v>
      </c>
      <c r="I948" t="s">
        <v>23</v>
      </c>
      <c r="J948">
        <v>24</v>
      </c>
    </row>
    <row r="949" spans="1:10" x14ac:dyDescent="0.25">
      <c r="A949" t="s">
        <v>971</v>
      </c>
      <c r="B949" t="s">
        <v>15</v>
      </c>
      <c r="C949" s="1">
        <v>45742</v>
      </c>
      <c r="D949">
        <v>122909</v>
      </c>
      <c r="E949">
        <v>752</v>
      </c>
      <c r="F949">
        <v>0.23</v>
      </c>
      <c r="G949">
        <v>0</v>
      </c>
      <c r="H949" t="s">
        <v>22</v>
      </c>
      <c r="I949" t="s">
        <v>13</v>
      </c>
      <c r="J949">
        <v>17</v>
      </c>
    </row>
    <row r="950" spans="1:10" x14ac:dyDescent="0.25">
      <c r="A950" t="s">
        <v>972</v>
      </c>
      <c r="B950" t="s">
        <v>11</v>
      </c>
      <c r="C950" s="1">
        <v>45346</v>
      </c>
      <c r="D950">
        <v>10181</v>
      </c>
      <c r="E950">
        <v>549</v>
      </c>
      <c r="F950">
        <v>0.42</v>
      </c>
      <c r="G950">
        <v>2</v>
      </c>
      <c r="H950" t="s">
        <v>19</v>
      </c>
      <c r="I950" t="s">
        <v>23</v>
      </c>
      <c r="J950">
        <v>30</v>
      </c>
    </row>
    <row r="951" spans="1:10" x14ac:dyDescent="0.25">
      <c r="A951" t="s">
        <v>973</v>
      </c>
      <c r="B951" t="s">
        <v>15</v>
      </c>
      <c r="C951" s="1">
        <v>45889</v>
      </c>
      <c r="D951">
        <v>38512</v>
      </c>
      <c r="E951">
        <v>655</v>
      </c>
      <c r="F951">
        <v>0.15</v>
      </c>
      <c r="G951">
        <v>2</v>
      </c>
      <c r="H951" t="s">
        <v>12</v>
      </c>
      <c r="I951" t="s">
        <v>23</v>
      </c>
      <c r="J951">
        <v>12</v>
      </c>
    </row>
    <row r="952" spans="1:10" x14ac:dyDescent="0.25">
      <c r="A952" t="s">
        <v>974</v>
      </c>
      <c r="B952" t="s">
        <v>43</v>
      </c>
      <c r="C952" s="1">
        <v>45844</v>
      </c>
      <c r="D952">
        <v>122756</v>
      </c>
      <c r="E952">
        <v>704</v>
      </c>
      <c r="F952">
        <v>0.5</v>
      </c>
      <c r="G952">
        <v>0</v>
      </c>
      <c r="H952" t="s">
        <v>12</v>
      </c>
      <c r="I952" t="s">
        <v>13</v>
      </c>
      <c r="J952">
        <v>14</v>
      </c>
    </row>
    <row r="953" spans="1:10" x14ac:dyDescent="0.25">
      <c r="A953" t="s">
        <v>975</v>
      </c>
      <c r="B953" t="s">
        <v>15</v>
      </c>
      <c r="C953" s="1">
        <v>45973</v>
      </c>
      <c r="D953">
        <v>74184</v>
      </c>
      <c r="E953">
        <v>655</v>
      </c>
      <c r="F953">
        <v>0.37</v>
      </c>
      <c r="G953">
        <v>2</v>
      </c>
      <c r="H953" t="s">
        <v>41</v>
      </c>
      <c r="I953" t="s">
        <v>17</v>
      </c>
      <c r="J953">
        <v>9</v>
      </c>
    </row>
    <row r="954" spans="1:10" x14ac:dyDescent="0.25">
      <c r="A954" t="s">
        <v>976</v>
      </c>
      <c r="B954" t="s">
        <v>11</v>
      </c>
      <c r="C954" s="1">
        <v>45870</v>
      </c>
      <c r="D954">
        <v>68572</v>
      </c>
      <c r="E954">
        <v>691</v>
      </c>
      <c r="F954">
        <v>0.36</v>
      </c>
      <c r="G954">
        <v>5</v>
      </c>
      <c r="H954" t="s">
        <v>19</v>
      </c>
      <c r="I954" t="s">
        <v>23</v>
      </c>
      <c r="J954">
        <v>13</v>
      </c>
    </row>
    <row r="955" spans="1:10" x14ac:dyDescent="0.25">
      <c r="A955" t="s">
        <v>977</v>
      </c>
      <c r="B955" t="s">
        <v>43</v>
      </c>
      <c r="C955" s="1">
        <v>45329</v>
      </c>
      <c r="D955">
        <v>20784</v>
      </c>
      <c r="E955">
        <v>796</v>
      </c>
      <c r="F955">
        <v>0.41</v>
      </c>
      <c r="G955">
        <v>0</v>
      </c>
      <c r="H955" t="s">
        <v>27</v>
      </c>
      <c r="I955" t="s">
        <v>13</v>
      </c>
      <c r="J955">
        <v>31</v>
      </c>
    </row>
    <row r="956" spans="1:10" x14ac:dyDescent="0.25">
      <c r="A956" t="s">
        <v>978</v>
      </c>
      <c r="B956" t="s">
        <v>15</v>
      </c>
      <c r="C956" s="1">
        <v>45557</v>
      </c>
      <c r="D956">
        <v>122153</v>
      </c>
      <c r="E956">
        <v>629</v>
      </c>
      <c r="F956">
        <v>0.28000000000000003</v>
      </c>
      <c r="G956">
        <v>0</v>
      </c>
      <c r="H956" t="s">
        <v>16</v>
      </c>
      <c r="I956" t="s">
        <v>13</v>
      </c>
      <c r="J956">
        <v>23</v>
      </c>
    </row>
    <row r="957" spans="1:10" x14ac:dyDescent="0.25">
      <c r="A957" t="s">
        <v>979</v>
      </c>
      <c r="B957" t="s">
        <v>21</v>
      </c>
      <c r="C957" s="1">
        <v>45495</v>
      </c>
      <c r="D957">
        <v>144472</v>
      </c>
      <c r="E957">
        <v>591</v>
      </c>
      <c r="F957">
        <v>0.6</v>
      </c>
      <c r="G957">
        <v>0</v>
      </c>
      <c r="H957" t="s">
        <v>12</v>
      </c>
      <c r="I957" t="s">
        <v>13</v>
      </c>
      <c r="J957">
        <v>25</v>
      </c>
    </row>
    <row r="958" spans="1:10" x14ac:dyDescent="0.25">
      <c r="A958" t="s">
        <v>980</v>
      </c>
      <c r="B958" t="s">
        <v>43</v>
      </c>
      <c r="C958" s="1">
        <v>45532</v>
      </c>
      <c r="D958">
        <v>86520</v>
      </c>
      <c r="E958">
        <v>610</v>
      </c>
      <c r="F958">
        <v>0.3</v>
      </c>
      <c r="G958">
        <v>0</v>
      </c>
      <c r="H958" t="s">
        <v>41</v>
      </c>
      <c r="I958" t="s">
        <v>13</v>
      </c>
      <c r="J958">
        <v>24</v>
      </c>
    </row>
    <row r="959" spans="1:10" x14ac:dyDescent="0.25">
      <c r="A959" t="s">
        <v>981</v>
      </c>
      <c r="B959" t="s">
        <v>43</v>
      </c>
      <c r="C959" s="1">
        <v>45592</v>
      </c>
      <c r="D959">
        <v>89019</v>
      </c>
      <c r="E959">
        <v>738</v>
      </c>
      <c r="F959">
        <v>0.57999999999999996</v>
      </c>
      <c r="G959">
        <v>0</v>
      </c>
      <c r="H959" t="s">
        <v>27</v>
      </c>
      <c r="I959" t="s">
        <v>13</v>
      </c>
      <c r="J959">
        <v>22</v>
      </c>
    </row>
    <row r="960" spans="1:10" x14ac:dyDescent="0.25">
      <c r="A960" t="s">
        <v>982</v>
      </c>
      <c r="B960" t="s">
        <v>43</v>
      </c>
      <c r="C960" s="1">
        <v>45813</v>
      </c>
      <c r="D960">
        <v>144207</v>
      </c>
      <c r="E960">
        <v>745</v>
      </c>
      <c r="F960">
        <v>0.52</v>
      </c>
      <c r="G960">
        <v>0</v>
      </c>
      <c r="H960" t="s">
        <v>27</v>
      </c>
      <c r="I960" t="s">
        <v>13</v>
      </c>
      <c r="J960">
        <v>15</v>
      </c>
    </row>
    <row r="961" spans="1:10" x14ac:dyDescent="0.25">
      <c r="A961" t="s">
        <v>983</v>
      </c>
      <c r="B961" t="s">
        <v>15</v>
      </c>
      <c r="C961" s="1">
        <v>45407</v>
      </c>
      <c r="D961">
        <v>96669</v>
      </c>
      <c r="E961">
        <v>684</v>
      </c>
      <c r="F961">
        <v>0.19</v>
      </c>
      <c r="G961">
        <v>3</v>
      </c>
      <c r="H961" t="s">
        <v>41</v>
      </c>
      <c r="I961" t="s">
        <v>17</v>
      </c>
      <c r="J961">
        <v>28</v>
      </c>
    </row>
    <row r="962" spans="1:10" x14ac:dyDescent="0.25">
      <c r="A962" t="s">
        <v>984</v>
      </c>
      <c r="B962" t="s">
        <v>21</v>
      </c>
      <c r="C962" s="1">
        <v>45313</v>
      </c>
      <c r="D962">
        <v>127405</v>
      </c>
      <c r="E962">
        <v>810</v>
      </c>
      <c r="F962">
        <v>0.33</v>
      </c>
      <c r="G962">
        <v>6</v>
      </c>
      <c r="H962" t="s">
        <v>12</v>
      </c>
      <c r="I962" t="s">
        <v>17</v>
      </c>
      <c r="J962">
        <v>31</v>
      </c>
    </row>
    <row r="963" spans="1:10" x14ac:dyDescent="0.25">
      <c r="A963" t="s">
        <v>985</v>
      </c>
      <c r="B963" t="s">
        <v>15</v>
      </c>
      <c r="C963" s="1">
        <v>45808</v>
      </c>
      <c r="D963">
        <v>138275</v>
      </c>
      <c r="E963">
        <v>594</v>
      </c>
      <c r="F963">
        <v>0.28999999999999998</v>
      </c>
      <c r="G963">
        <v>3</v>
      </c>
      <c r="H963" t="s">
        <v>27</v>
      </c>
      <c r="I963" t="s">
        <v>23</v>
      </c>
      <c r="J963">
        <v>15</v>
      </c>
    </row>
    <row r="964" spans="1:10" x14ac:dyDescent="0.25">
      <c r="A964" t="s">
        <v>986</v>
      </c>
      <c r="B964" t="s">
        <v>43</v>
      </c>
      <c r="C964" s="1">
        <v>45433</v>
      </c>
      <c r="D964">
        <v>95843</v>
      </c>
      <c r="E964">
        <v>552</v>
      </c>
      <c r="F964">
        <v>0.21</v>
      </c>
      <c r="G964">
        <v>0</v>
      </c>
      <c r="H964" t="s">
        <v>19</v>
      </c>
      <c r="I964" t="s">
        <v>13</v>
      </c>
      <c r="J964">
        <v>27</v>
      </c>
    </row>
    <row r="965" spans="1:10" x14ac:dyDescent="0.25">
      <c r="A965" t="s">
        <v>987</v>
      </c>
      <c r="B965" t="s">
        <v>21</v>
      </c>
      <c r="C965" s="1">
        <v>45855</v>
      </c>
      <c r="D965">
        <v>127272</v>
      </c>
      <c r="E965">
        <v>764</v>
      </c>
      <c r="F965">
        <v>0.16</v>
      </c>
      <c r="G965">
        <v>5</v>
      </c>
      <c r="H965" t="s">
        <v>16</v>
      </c>
      <c r="I965" t="s">
        <v>17</v>
      </c>
      <c r="J965">
        <v>13</v>
      </c>
    </row>
    <row r="966" spans="1:10" x14ac:dyDescent="0.25">
      <c r="A966" t="s">
        <v>988</v>
      </c>
      <c r="B966" t="s">
        <v>21</v>
      </c>
      <c r="C966" s="1">
        <v>45449</v>
      </c>
      <c r="D966">
        <v>111456</v>
      </c>
      <c r="E966">
        <v>531</v>
      </c>
      <c r="F966">
        <v>0.26</v>
      </c>
      <c r="G966">
        <v>6</v>
      </c>
      <c r="H966" t="s">
        <v>22</v>
      </c>
      <c r="I966" t="s">
        <v>17</v>
      </c>
      <c r="J966">
        <v>27</v>
      </c>
    </row>
    <row r="967" spans="1:10" x14ac:dyDescent="0.25">
      <c r="A967" t="s">
        <v>989</v>
      </c>
      <c r="B967" t="s">
        <v>43</v>
      </c>
      <c r="C967" s="1">
        <v>45730</v>
      </c>
      <c r="D967">
        <v>19462</v>
      </c>
      <c r="E967">
        <v>712</v>
      </c>
      <c r="F967">
        <v>0.52</v>
      </c>
      <c r="G967">
        <v>0</v>
      </c>
      <c r="H967" t="s">
        <v>27</v>
      </c>
      <c r="I967" t="s">
        <v>13</v>
      </c>
      <c r="J967">
        <v>17</v>
      </c>
    </row>
    <row r="968" spans="1:10" x14ac:dyDescent="0.25">
      <c r="A968" t="s">
        <v>990</v>
      </c>
      <c r="B968" t="s">
        <v>43</v>
      </c>
      <c r="C968" s="1">
        <v>45538</v>
      </c>
      <c r="D968">
        <v>77292</v>
      </c>
      <c r="E968">
        <v>622</v>
      </c>
      <c r="F968">
        <v>0.57999999999999996</v>
      </c>
      <c r="G968">
        <v>3</v>
      </c>
      <c r="H968" t="s">
        <v>19</v>
      </c>
      <c r="I968" t="s">
        <v>23</v>
      </c>
      <c r="J968">
        <v>24</v>
      </c>
    </row>
    <row r="969" spans="1:10" x14ac:dyDescent="0.25">
      <c r="A969" t="s">
        <v>991</v>
      </c>
      <c r="B969" t="s">
        <v>11</v>
      </c>
      <c r="C969" s="1">
        <v>45991</v>
      </c>
      <c r="D969">
        <v>57424</v>
      </c>
      <c r="E969">
        <v>612</v>
      </c>
      <c r="F969">
        <v>0.41</v>
      </c>
      <c r="G969">
        <v>5</v>
      </c>
      <c r="H969" t="s">
        <v>19</v>
      </c>
      <c r="I969" t="s">
        <v>17</v>
      </c>
      <c r="J969">
        <v>9</v>
      </c>
    </row>
    <row r="970" spans="1:10" x14ac:dyDescent="0.25">
      <c r="A970" t="s">
        <v>992</v>
      </c>
      <c r="B970" t="s">
        <v>11</v>
      </c>
      <c r="C970" s="1">
        <v>45501</v>
      </c>
      <c r="D970">
        <v>119209</v>
      </c>
      <c r="E970">
        <v>780</v>
      </c>
      <c r="F970">
        <v>0.49</v>
      </c>
      <c r="G970">
        <v>0</v>
      </c>
      <c r="H970" t="s">
        <v>22</v>
      </c>
      <c r="I970" t="s">
        <v>13</v>
      </c>
      <c r="J970">
        <v>25</v>
      </c>
    </row>
    <row r="971" spans="1:10" x14ac:dyDescent="0.25">
      <c r="A971" t="s">
        <v>993</v>
      </c>
      <c r="B971" t="s">
        <v>21</v>
      </c>
      <c r="C971" s="1">
        <v>45808</v>
      </c>
      <c r="D971">
        <v>45306</v>
      </c>
      <c r="E971">
        <v>610</v>
      </c>
      <c r="F971">
        <v>0.2</v>
      </c>
      <c r="G971">
        <v>0</v>
      </c>
      <c r="H971" t="s">
        <v>22</v>
      </c>
      <c r="I971" t="s">
        <v>13</v>
      </c>
      <c r="J971">
        <v>15</v>
      </c>
    </row>
    <row r="972" spans="1:10" x14ac:dyDescent="0.25">
      <c r="A972" t="s">
        <v>994</v>
      </c>
      <c r="B972" t="s">
        <v>21</v>
      </c>
      <c r="C972" s="1">
        <v>45366</v>
      </c>
      <c r="D972">
        <v>58413</v>
      </c>
      <c r="E972">
        <v>828</v>
      </c>
      <c r="F972">
        <v>0.47</v>
      </c>
      <c r="G972">
        <v>1</v>
      </c>
      <c r="H972" t="s">
        <v>12</v>
      </c>
      <c r="I972" t="s">
        <v>17</v>
      </c>
      <c r="J972">
        <v>29</v>
      </c>
    </row>
    <row r="973" spans="1:10" x14ac:dyDescent="0.25">
      <c r="A973" t="s">
        <v>995</v>
      </c>
      <c r="B973" t="s">
        <v>21</v>
      </c>
      <c r="C973" s="1">
        <v>45343</v>
      </c>
      <c r="D973">
        <v>141140</v>
      </c>
      <c r="E973">
        <v>462</v>
      </c>
      <c r="F973">
        <v>0.3</v>
      </c>
      <c r="G973">
        <v>6</v>
      </c>
      <c r="H973" t="s">
        <v>16</v>
      </c>
      <c r="I973" t="s">
        <v>23</v>
      </c>
      <c r="J973">
        <v>30</v>
      </c>
    </row>
    <row r="974" spans="1:10" x14ac:dyDescent="0.25">
      <c r="A974" t="s">
        <v>996</v>
      </c>
      <c r="B974" t="s">
        <v>15</v>
      </c>
      <c r="C974" s="1">
        <v>45493</v>
      </c>
      <c r="D974">
        <v>118646</v>
      </c>
      <c r="E974">
        <v>812</v>
      </c>
      <c r="F974">
        <v>0.41</v>
      </c>
      <c r="G974">
        <v>6</v>
      </c>
      <c r="H974" t="s">
        <v>27</v>
      </c>
      <c r="I974" t="s">
        <v>17</v>
      </c>
      <c r="J974">
        <v>25</v>
      </c>
    </row>
    <row r="975" spans="1:10" x14ac:dyDescent="0.25">
      <c r="A975" t="s">
        <v>997</v>
      </c>
      <c r="B975" t="s">
        <v>21</v>
      </c>
      <c r="C975" s="1">
        <v>45397</v>
      </c>
      <c r="D975">
        <v>59084</v>
      </c>
      <c r="E975">
        <v>845</v>
      </c>
      <c r="F975">
        <v>0.64</v>
      </c>
      <c r="G975">
        <v>0</v>
      </c>
      <c r="H975" t="s">
        <v>19</v>
      </c>
      <c r="I975" t="s">
        <v>13</v>
      </c>
      <c r="J975">
        <v>28</v>
      </c>
    </row>
    <row r="976" spans="1:10" x14ac:dyDescent="0.25">
      <c r="A976" t="s">
        <v>998</v>
      </c>
      <c r="B976" t="s">
        <v>15</v>
      </c>
      <c r="C976" s="1">
        <v>45691</v>
      </c>
      <c r="D976">
        <v>126027</v>
      </c>
      <c r="E976">
        <v>468</v>
      </c>
      <c r="F976">
        <v>0.28000000000000003</v>
      </c>
      <c r="G976">
        <v>0</v>
      </c>
      <c r="H976" t="s">
        <v>22</v>
      </c>
      <c r="I976" t="s">
        <v>17</v>
      </c>
      <c r="J976">
        <v>19</v>
      </c>
    </row>
    <row r="977" spans="1:10" x14ac:dyDescent="0.25">
      <c r="A977" t="s">
        <v>999</v>
      </c>
      <c r="B977" t="s">
        <v>15</v>
      </c>
      <c r="C977" s="1">
        <v>45473</v>
      </c>
      <c r="D977">
        <v>145597</v>
      </c>
      <c r="E977">
        <v>829</v>
      </c>
      <c r="F977">
        <v>0.32</v>
      </c>
      <c r="G977">
        <v>0</v>
      </c>
      <c r="H977" t="s">
        <v>19</v>
      </c>
      <c r="I977" t="s">
        <v>13</v>
      </c>
      <c r="J977">
        <v>26</v>
      </c>
    </row>
    <row r="978" spans="1:10" x14ac:dyDescent="0.25">
      <c r="A978" t="s">
        <v>1000</v>
      </c>
      <c r="B978" t="s">
        <v>43</v>
      </c>
      <c r="C978" s="1">
        <v>45648</v>
      </c>
      <c r="D978">
        <v>108865</v>
      </c>
      <c r="E978">
        <v>450</v>
      </c>
      <c r="F978">
        <v>0.42</v>
      </c>
      <c r="G978">
        <v>6</v>
      </c>
      <c r="H978" t="s">
        <v>27</v>
      </c>
      <c r="I978" t="s">
        <v>17</v>
      </c>
      <c r="J978">
        <v>20</v>
      </c>
    </row>
    <row r="979" spans="1:10" x14ac:dyDescent="0.25">
      <c r="A979" t="s">
        <v>1001</v>
      </c>
      <c r="B979" t="s">
        <v>11</v>
      </c>
      <c r="C979" s="1">
        <v>45595</v>
      </c>
      <c r="D979">
        <v>27219</v>
      </c>
      <c r="E979">
        <v>473</v>
      </c>
      <c r="F979">
        <v>0.47</v>
      </c>
      <c r="G979">
        <v>1</v>
      </c>
      <c r="H979" t="s">
        <v>22</v>
      </c>
      <c r="I979" t="s">
        <v>23</v>
      </c>
      <c r="J979">
        <v>22</v>
      </c>
    </row>
    <row r="980" spans="1:10" x14ac:dyDescent="0.25">
      <c r="A980" t="s">
        <v>1002</v>
      </c>
      <c r="B980" t="s">
        <v>15</v>
      </c>
      <c r="C980" s="1">
        <v>45313</v>
      </c>
      <c r="D980">
        <v>95444</v>
      </c>
      <c r="E980">
        <v>0</v>
      </c>
      <c r="F980">
        <v>0.63</v>
      </c>
      <c r="G980">
        <v>6</v>
      </c>
      <c r="H980" t="s">
        <v>22</v>
      </c>
      <c r="I980" t="s">
        <v>89</v>
      </c>
      <c r="J980">
        <v>31</v>
      </c>
    </row>
    <row r="981" spans="1:10" x14ac:dyDescent="0.25">
      <c r="A981" t="s">
        <v>1003</v>
      </c>
      <c r="B981" t="s">
        <v>11</v>
      </c>
      <c r="C981" s="1">
        <v>45772</v>
      </c>
      <c r="D981">
        <v>135844</v>
      </c>
      <c r="E981">
        <v>459</v>
      </c>
      <c r="F981">
        <v>0.52</v>
      </c>
      <c r="G981">
        <v>0</v>
      </c>
      <c r="H981" t="s">
        <v>22</v>
      </c>
      <c r="I981" t="s">
        <v>23</v>
      </c>
      <c r="J981">
        <v>16</v>
      </c>
    </row>
    <row r="982" spans="1:10" x14ac:dyDescent="0.25">
      <c r="A982" t="s">
        <v>1004</v>
      </c>
      <c r="B982" t="s">
        <v>15</v>
      </c>
      <c r="C982" s="1">
        <v>45785</v>
      </c>
      <c r="D982">
        <v>72673</v>
      </c>
      <c r="E982">
        <v>808</v>
      </c>
      <c r="F982">
        <v>0.32</v>
      </c>
      <c r="G982">
        <v>0</v>
      </c>
      <c r="H982" t="s">
        <v>27</v>
      </c>
      <c r="I982" t="s">
        <v>13</v>
      </c>
      <c r="J982">
        <v>16</v>
      </c>
    </row>
    <row r="983" spans="1:10" x14ac:dyDescent="0.25">
      <c r="A983" t="s">
        <v>1005</v>
      </c>
      <c r="B983" t="s">
        <v>43</v>
      </c>
      <c r="C983" s="1">
        <v>45313</v>
      </c>
      <c r="D983">
        <v>125035</v>
      </c>
      <c r="E983">
        <v>510</v>
      </c>
      <c r="F983">
        <v>0.46</v>
      </c>
      <c r="G983">
        <v>4</v>
      </c>
      <c r="H983" t="s">
        <v>19</v>
      </c>
      <c r="I983" t="s">
        <v>89</v>
      </c>
      <c r="J983">
        <v>31</v>
      </c>
    </row>
    <row r="984" spans="1:10" x14ac:dyDescent="0.25">
      <c r="A984" t="s">
        <v>1006</v>
      </c>
      <c r="B984" t="s">
        <v>21</v>
      </c>
      <c r="C984" s="1">
        <v>45378</v>
      </c>
      <c r="D984">
        <v>74836</v>
      </c>
      <c r="E984">
        <v>728</v>
      </c>
      <c r="F984">
        <v>0.16</v>
      </c>
      <c r="G984">
        <v>2</v>
      </c>
      <c r="H984" t="s">
        <v>16</v>
      </c>
      <c r="I984" t="s">
        <v>17</v>
      </c>
      <c r="J984">
        <v>29</v>
      </c>
    </row>
    <row r="985" spans="1:10" x14ac:dyDescent="0.25">
      <c r="A985" t="s">
        <v>1007</v>
      </c>
      <c r="B985" t="s">
        <v>15</v>
      </c>
      <c r="C985" s="1">
        <v>45546</v>
      </c>
      <c r="D985">
        <v>106392</v>
      </c>
      <c r="E985">
        <v>479</v>
      </c>
      <c r="F985">
        <v>0.43</v>
      </c>
      <c r="G985">
        <v>2</v>
      </c>
      <c r="H985" t="s">
        <v>41</v>
      </c>
      <c r="I985" t="s">
        <v>17</v>
      </c>
      <c r="J985">
        <v>23</v>
      </c>
    </row>
    <row r="986" spans="1:10" x14ac:dyDescent="0.25">
      <c r="A986" t="s">
        <v>1008</v>
      </c>
      <c r="B986" t="s">
        <v>15</v>
      </c>
      <c r="C986" s="1">
        <v>45867</v>
      </c>
      <c r="D986">
        <v>60779</v>
      </c>
      <c r="E986">
        <v>9999</v>
      </c>
      <c r="F986">
        <v>0.43</v>
      </c>
      <c r="G986">
        <v>0</v>
      </c>
      <c r="H986" t="s">
        <v>41</v>
      </c>
      <c r="I986" t="s">
        <v>13</v>
      </c>
      <c r="J986">
        <v>13</v>
      </c>
    </row>
    <row r="987" spans="1:10" x14ac:dyDescent="0.25">
      <c r="A987" t="s">
        <v>1009</v>
      </c>
      <c r="B987" t="s">
        <v>21</v>
      </c>
      <c r="C987" s="1">
        <v>45712</v>
      </c>
      <c r="D987">
        <v>124450</v>
      </c>
      <c r="E987">
        <v>465</v>
      </c>
      <c r="F987">
        <v>0.37</v>
      </c>
      <c r="G987">
        <v>0</v>
      </c>
      <c r="H987" t="s">
        <v>19</v>
      </c>
      <c r="I987" t="s">
        <v>13</v>
      </c>
      <c r="J987">
        <v>18</v>
      </c>
    </row>
    <row r="988" spans="1:10" x14ac:dyDescent="0.25">
      <c r="A988" t="s">
        <v>1010</v>
      </c>
      <c r="B988" t="s">
        <v>21</v>
      </c>
      <c r="C988" s="1">
        <v>45685</v>
      </c>
      <c r="D988">
        <v>107049</v>
      </c>
      <c r="E988">
        <v>670</v>
      </c>
      <c r="F988">
        <v>0.44</v>
      </c>
      <c r="G988">
        <v>1</v>
      </c>
      <c r="H988" t="s">
        <v>27</v>
      </c>
      <c r="I988" t="s">
        <v>23</v>
      </c>
      <c r="J988">
        <v>19</v>
      </c>
    </row>
    <row r="989" spans="1:10" x14ac:dyDescent="0.25">
      <c r="A989" t="s">
        <v>1011</v>
      </c>
      <c r="B989" t="s">
        <v>21</v>
      </c>
      <c r="C989" s="1">
        <v>45497</v>
      </c>
      <c r="D989">
        <v>75204</v>
      </c>
      <c r="E989">
        <v>479</v>
      </c>
      <c r="F989">
        <v>0.16</v>
      </c>
      <c r="G989">
        <v>1</v>
      </c>
      <c r="H989" t="s">
        <v>19</v>
      </c>
      <c r="I989" t="s">
        <v>23</v>
      </c>
      <c r="J989">
        <v>25</v>
      </c>
    </row>
    <row r="990" spans="1:10" x14ac:dyDescent="0.25">
      <c r="A990" t="s">
        <v>1012</v>
      </c>
      <c r="B990" t="s">
        <v>15</v>
      </c>
      <c r="C990" s="1">
        <v>45901</v>
      </c>
      <c r="D990">
        <v>87102</v>
      </c>
      <c r="E990">
        <v>542</v>
      </c>
      <c r="F990">
        <v>0.49</v>
      </c>
      <c r="G990">
        <v>1</v>
      </c>
      <c r="H990" t="s">
        <v>19</v>
      </c>
      <c r="I990" t="s">
        <v>89</v>
      </c>
      <c r="J990">
        <v>12</v>
      </c>
    </row>
    <row r="991" spans="1:10" x14ac:dyDescent="0.25">
      <c r="A991" t="s">
        <v>1013</v>
      </c>
      <c r="B991" t="s">
        <v>11</v>
      </c>
      <c r="C991" s="1">
        <v>45703</v>
      </c>
      <c r="D991">
        <v>7845</v>
      </c>
      <c r="E991">
        <v>551</v>
      </c>
      <c r="F991">
        <v>0.42</v>
      </c>
      <c r="G991">
        <v>0</v>
      </c>
      <c r="H991" t="s">
        <v>19</v>
      </c>
      <c r="I991" t="s">
        <v>13</v>
      </c>
      <c r="J991">
        <v>18</v>
      </c>
    </row>
    <row r="992" spans="1:10" x14ac:dyDescent="0.25">
      <c r="A992" t="s">
        <v>1014</v>
      </c>
      <c r="B992" t="s">
        <v>15</v>
      </c>
      <c r="C992" s="1">
        <v>45361</v>
      </c>
      <c r="D992">
        <v>53626</v>
      </c>
      <c r="E992">
        <v>780</v>
      </c>
      <c r="F992">
        <v>0.57999999999999996</v>
      </c>
      <c r="G992">
        <v>0</v>
      </c>
      <c r="H992" t="s">
        <v>12</v>
      </c>
      <c r="I992" t="s">
        <v>17</v>
      </c>
      <c r="J992">
        <v>29</v>
      </c>
    </row>
    <row r="993" spans="1:10" x14ac:dyDescent="0.25">
      <c r="A993" t="s">
        <v>1015</v>
      </c>
      <c r="B993" t="s">
        <v>21</v>
      </c>
      <c r="C993" s="1">
        <v>45952</v>
      </c>
      <c r="D993">
        <v>51881</v>
      </c>
      <c r="E993">
        <v>704</v>
      </c>
      <c r="F993">
        <v>0.22</v>
      </c>
      <c r="G993">
        <v>1</v>
      </c>
      <c r="H993" t="s">
        <v>12</v>
      </c>
      <c r="I993" t="s">
        <v>23</v>
      </c>
      <c r="J993">
        <v>10</v>
      </c>
    </row>
    <row r="994" spans="1:10" x14ac:dyDescent="0.25">
      <c r="A994" t="s">
        <v>1016</v>
      </c>
      <c r="B994" t="s">
        <v>21</v>
      </c>
      <c r="C994" s="1">
        <v>45984</v>
      </c>
      <c r="D994">
        <v>59653</v>
      </c>
      <c r="E994">
        <v>818</v>
      </c>
      <c r="F994">
        <v>0.19</v>
      </c>
      <c r="G994">
        <v>0</v>
      </c>
      <c r="H994" t="s">
        <v>19</v>
      </c>
      <c r="I994" t="s">
        <v>13</v>
      </c>
      <c r="J994">
        <v>9</v>
      </c>
    </row>
    <row r="995" spans="1:10" x14ac:dyDescent="0.25">
      <c r="A995" t="s">
        <v>1017</v>
      </c>
      <c r="B995" t="s">
        <v>11</v>
      </c>
      <c r="C995" s="1">
        <v>45523</v>
      </c>
      <c r="D995">
        <v>126299</v>
      </c>
      <c r="E995">
        <v>650</v>
      </c>
      <c r="F995">
        <v>0.44</v>
      </c>
      <c r="G995">
        <v>5</v>
      </c>
      <c r="H995" t="s">
        <v>27</v>
      </c>
      <c r="I995" t="s">
        <v>17</v>
      </c>
      <c r="J995">
        <v>24</v>
      </c>
    </row>
    <row r="996" spans="1:10" x14ac:dyDescent="0.25">
      <c r="A996" t="s">
        <v>1018</v>
      </c>
      <c r="B996" t="s">
        <v>11</v>
      </c>
      <c r="C996" s="1">
        <v>45613</v>
      </c>
      <c r="D996">
        <v>52955</v>
      </c>
      <c r="E996">
        <v>602</v>
      </c>
      <c r="F996">
        <v>0.38</v>
      </c>
      <c r="G996">
        <v>1</v>
      </c>
      <c r="H996" t="s">
        <v>27</v>
      </c>
      <c r="I996" t="s">
        <v>17</v>
      </c>
      <c r="J996">
        <v>21</v>
      </c>
    </row>
    <row r="997" spans="1:10" x14ac:dyDescent="0.25">
      <c r="A997" t="s">
        <v>1019</v>
      </c>
      <c r="B997" t="s">
        <v>21</v>
      </c>
      <c r="C997" s="1">
        <v>45624</v>
      </c>
      <c r="D997">
        <v>88553</v>
      </c>
      <c r="E997">
        <v>798</v>
      </c>
      <c r="F997">
        <v>0.36</v>
      </c>
      <c r="G997">
        <v>6</v>
      </c>
      <c r="H997" t="s">
        <v>16</v>
      </c>
      <c r="I997" t="s">
        <v>17</v>
      </c>
      <c r="J997">
        <v>21</v>
      </c>
    </row>
    <row r="998" spans="1:10" x14ac:dyDescent="0.25">
      <c r="A998" t="s">
        <v>1020</v>
      </c>
      <c r="B998" t="s">
        <v>43</v>
      </c>
      <c r="C998" s="1">
        <v>45321</v>
      </c>
      <c r="D998">
        <v>131513</v>
      </c>
      <c r="E998">
        <v>688</v>
      </c>
      <c r="F998">
        <v>0.24</v>
      </c>
      <c r="G998">
        <v>5</v>
      </c>
      <c r="H998" t="s">
        <v>27</v>
      </c>
      <c r="I998" t="s">
        <v>17</v>
      </c>
      <c r="J998">
        <v>31</v>
      </c>
    </row>
    <row r="999" spans="1:10" x14ac:dyDescent="0.25">
      <c r="A999" t="s">
        <v>1021</v>
      </c>
      <c r="B999" t="s">
        <v>15</v>
      </c>
      <c r="C999" s="1">
        <v>45349</v>
      </c>
      <c r="D999">
        <v>100147</v>
      </c>
      <c r="E999">
        <v>844</v>
      </c>
      <c r="F999">
        <v>0.62</v>
      </c>
      <c r="G999">
        <v>0</v>
      </c>
      <c r="H999" t="s">
        <v>27</v>
      </c>
      <c r="I999" t="s">
        <v>13</v>
      </c>
      <c r="J999">
        <v>30</v>
      </c>
    </row>
    <row r="1000" spans="1:10" x14ac:dyDescent="0.25">
      <c r="A1000" t="s">
        <v>1022</v>
      </c>
      <c r="B1000" t="s">
        <v>43</v>
      </c>
      <c r="C1000" s="1">
        <v>45328</v>
      </c>
      <c r="D1000">
        <v>78210</v>
      </c>
      <c r="E1000">
        <v>479</v>
      </c>
      <c r="F1000">
        <v>0.6</v>
      </c>
      <c r="G1000">
        <v>5</v>
      </c>
      <c r="H1000" t="s">
        <v>22</v>
      </c>
      <c r="I1000" t="s">
        <v>89</v>
      </c>
      <c r="J1000">
        <v>31</v>
      </c>
    </row>
    <row r="1001" spans="1:10" x14ac:dyDescent="0.25">
      <c r="A1001" t="s">
        <v>1023</v>
      </c>
      <c r="B1001" t="s">
        <v>21</v>
      </c>
      <c r="C1001" s="1">
        <v>45987</v>
      </c>
      <c r="D1001">
        <v>101694</v>
      </c>
      <c r="E1001">
        <v>624</v>
      </c>
      <c r="F1001">
        <v>0.31</v>
      </c>
      <c r="G1001">
        <v>0</v>
      </c>
      <c r="H1001" t="s">
        <v>22</v>
      </c>
      <c r="I1001" t="s">
        <v>13</v>
      </c>
      <c r="J100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337553-5FD3-4C77-B93C-C486146681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BankingCreditRisk</vt:lpstr>
      <vt:lpstr>Banking_Credit_Risk_Dirty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shaeem imran 20231-34341</cp:lastModifiedBy>
  <dcterms:created xsi:type="dcterms:W3CDTF">2026-09-10T13:14:52Z</dcterms:created>
  <dcterms:modified xsi:type="dcterms:W3CDTF">2026-09-10T13:32:58Z</dcterms:modified>
</cp:coreProperties>
</file>